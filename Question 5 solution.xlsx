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oel Rek\Fin Rek 178\2026\2. Notes\7. IAS 7 SCF (Part I)\English\"/>
    </mc:Choice>
  </mc:AlternateContent>
  <xr:revisionPtr revIDLastSave="0" documentId="13_ncr:1_{93AD28D1-0406-48DC-AD35-1B5B062F2D42}" xr6:coauthVersionLast="47" xr6:coauthVersionMax="47" xr10:uidLastSave="{00000000-0000-0000-0000-000000000000}"/>
  <bookViews>
    <workbookView xWindow="-110" yWindow="-110" windowWidth="19420" windowHeight="10300" activeTab="1" xr2:uid="{5F1ACC42-A8A1-404A-B026-82AAD7E84FE4}"/>
  </bookViews>
  <sheets>
    <sheet name="Info" sheetId="1" r:id="rId1"/>
    <sheet name="SCF" sheetId="2" r:id="rId2"/>
    <sheet name="Calc 1+2" sheetId="3" r:id="rId3"/>
    <sheet name="Calc 3-6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I32" i="3" l="1"/>
  <c r="I29" i="3"/>
  <c r="I26" i="3"/>
  <c r="I27" i="3"/>
  <c r="J27" i="3"/>
  <c r="C20" i="2"/>
  <c r="C21" i="2"/>
  <c r="C22" i="1"/>
  <c r="C65" i="4"/>
  <c r="C63" i="4" s="1"/>
  <c r="C62" i="4" s="1"/>
  <c r="B70" i="4" s="1"/>
  <c r="D53" i="4"/>
  <c r="B51" i="4" s="1"/>
  <c r="C13" i="2" s="1"/>
  <c r="D39" i="4"/>
  <c r="B36" i="4"/>
  <c r="B37" i="4" s="1"/>
  <c r="C12" i="2" s="1"/>
  <c r="D20" i="4"/>
  <c r="B24" i="3"/>
  <c r="B21" i="3"/>
  <c r="B19" i="3"/>
  <c r="B14" i="3"/>
  <c r="F4" i="3"/>
  <c r="H8" i="3"/>
  <c r="F6" i="3" s="1"/>
  <c r="B5" i="3" s="1"/>
  <c r="C26" i="2"/>
  <c r="C25" i="2"/>
  <c r="C16" i="2"/>
  <c r="B8" i="4"/>
  <c r="D22" i="4"/>
  <c r="D71" i="4"/>
  <c r="D74" i="4" s="1"/>
  <c r="B15" i="3"/>
  <c r="B4" i="3"/>
  <c r="B24" i="4"/>
  <c r="B30" i="3"/>
  <c r="E20" i="1"/>
  <c r="E7" i="1"/>
  <c r="D10" i="4"/>
  <c r="E22" i="1"/>
  <c r="C25" i="1"/>
  <c r="B74" i="4" l="1"/>
  <c r="C22" i="2"/>
  <c r="B20" i="3"/>
  <c r="B25" i="3"/>
  <c r="E25" i="1"/>
  <c r="E30" i="1" s="1"/>
  <c r="E32" i="1" s="1"/>
  <c r="C24" i="2"/>
  <c r="B6" i="4"/>
  <c r="B11" i="4" s="1"/>
  <c r="D9" i="4" s="1"/>
  <c r="C15" i="2" s="1"/>
  <c r="B6" i="3"/>
  <c r="C5" i="2" s="1"/>
  <c r="C7" i="1"/>
  <c r="C20" i="1"/>
  <c r="B17" i="3"/>
  <c r="B39" i="4"/>
  <c r="B53" i="4"/>
  <c r="D25" i="4"/>
  <c r="B23" i="4" s="1"/>
  <c r="C8" i="2" s="1"/>
  <c r="C30" i="1"/>
  <c r="C4" i="1"/>
  <c r="E4" i="1"/>
  <c r="E12" i="1" s="1"/>
  <c r="E35" i="1" l="1"/>
  <c r="C32" i="1"/>
  <c r="C12" i="1"/>
  <c r="B27" i="3"/>
  <c r="B32" i="3" s="1"/>
  <c r="C6" i="2" s="1"/>
  <c r="C7" i="2" s="1"/>
  <c r="C9" i="2" s="1"/>
  <c r="E24" i="2" s="1"/>
  <c r="B25" i="4"/>
  <c r="C35" i="1" l="1"/>
</calcChain>
</file>

<file path=xl/sharedStrings.xml><?xml version="1.0" encoding="utf-8"?>
<sst xmlns="http://schemas.openxmlformats.org/spreadsheetml/2006/main" count="191" uniqueCount="111">
  <si>
    <t>Assets</t>
  </si>
  <si>
    <t>Note</t>
  </si>
  <si>
    <t>R</t>
  </si>
  <si>
    <t>Non-current assets</t>
  </si>
  <si>
    <t>Property, plant and equipment</t>
  </si>
  <si>
    <t>Current assets</t>
  </si>
  <si>
    <t>Trade and other receivables</t>
  </si>
  <si>
    <t>Cash and cash equivalents</t>
  </si>
  <si>
    <t>Total assets</t>
  </si>
  <si>
    <t>Equity and liabilities</t>
  </si>
  <si>
    <t>Share capital</t>
  </si>
  <si>
    <t>Retained earnings</t>
  </si>
  <si>
    <t>Other components of equity</t>
  </si>
  <si>
    <t>Total equity</t>
  </si>
  <si>
    <t>Non-current liabilities</t>
  </si>
  <si>
    <t>Borrowings</t>
  </si>
  <si>
    <t>Current liabilities</t>
  </si>
  <si>
    <t>Trade and other payables</t>
  </si>
  <si>
    <t>Bank overdraft</t>
  </si>
  <si>
    <t>Income tax payable</t>
  </si>
  <si>
    <t>Total liabilities</t>
  </si>
  <si>
    <t>Total equity and liabilities</t>
  </si>
  <si>
    <t>Interest receivable</t>
  </si>
  <si>
    <t xml:space="preserve">Revenue </t>
  </si>
  <si>
    <t>Profit before tax</t>
  </si>
  <si>
    <t>Tax expense</t>
  </si>
  <si>
    <t>Depreciation</t>
  </si>
  <si>
    <t>Interest income</t>
  </si>
  <si>
    <t>Dividend income</t>
  </si>
  <si>
    <t>Cash flow from operating activities</t>
  </si>
  <si>
    <t>Cash generated from operations</t>
  </si>
  <si>
    <t>Interest received</t>
  </si>
  <si>
    <t>Dividends received</t>
  </si>
  <si>
    <t xml:space="preserve">Tax paid </t>
  </si>
  <si>
    <t xml:space="preserve">Cash flow from investing activities </t>
  </si>
  <si>
    <t>Purchase of fixed assets</t>
  </si>
  <si>
    <t>Proceeds on disposal of equipment</t>
  </si>
  <si>
    <t xml:space="preserve">Cash flow from financing activities </t>
  </si>
  <si>
    <t xml:space="preserve">Proceeds from the issue of ordinary shares </t>
  </si>
  <si>
    <t>Increase in long-term loans</t>
  </si>
  <si>
    <t>Net increase in cash and cash equivalents</t>
  </si>
  <si>
    <t>Cash and cash equivalents at beginning of year</t>
  </si>
  <si>
    <t>Cash and cash equivalents at end of year</t>
  </si>
  <si>
    <t>Cash receipts from customers (1)</t>
  </si>
  <si>
    <t>Cash paid to suppliers and employees (2)</t>
  </si>
  <si>
    <t>Profit from the sale of equipment</t>
  </si>
  <si>
    <t>Calc 1</t>
  </si>
  <si>
    <t>Cash receipts from customers</t>
  </si>
  <si>
    <t>Revenue</t>
  </si>
  <si>
    <t>(Increase) / decrease in debtors</t>
  </si>
  <si>
    <t>Debtors</t>
  </si>
  <si>
    <t>O/B</t>
  </si>
  <si>
    <t>C/B</t>
  </si>
  <si>
    <t>(189 000 + 9 000)</t>
  </si>
  <si>
    <t>(247 500 + 22 500)</t>
  </si>
  <si>
    <t>Bank</t>
  </si>
  <si>
    <t>Calc 2</t>
  </si>
  <si>
    <t>Cash paid to suppliers and employees</t>
  </si>
  <si>
    <t>Net expenses</t>
  </si>
  <si>
    <t>Adjust for non-cash items</t>
  </si>
  <si>
    <t>Movement in allowance for credit losses</t>
  </si>
  <si>
    <t>(22 500 - 9 000)</t>
  </si>
  <si>
    <t>Adjust for items shown elsewhere</t>
  </si>
  <si>
    <t>Adjust for working capital changes</t>
  </si>
  <si>
    <t>Increase / (decrease) in creditors</t>
  </si>
  <si>
    <t>Net cash outflow</t>
  </si>
  <si>
    <t>Interest received (3)</t>
  </si>
  <si>
    <t>Calc 3</t>
  </si>
  <si>
    <t>Calc 4</t>
  </si>
  <si>
    <t>Tax paid (4)</t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</si>
  <si>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 xml:space="preserve"> Additions to land and buildings (5)</t>
    </r>
  </si>
  <si>
    <t>Calc 5</t>
  </si>
  <si>
    <t>Additions to land and buildings</t>
  </si>
  <si>
    <t>Buildings</t>
  </si>
  <si>
    <t>Revaluation</t>
  </si>
  <si>
    <t>Calc 6</t>
  </si>
  <si>
    <t>Replacement of equipment</t>
  </si>
  <si>
    <t>Equipment</t>
  </si>
  <si>
    <t>Asset realisation</t>
  </si>
  <si>
    <r>
      <t>-</t>
    </r>
    <r>
      <rPr>
        <sz val="7"/>
        <color theme="1"/>
        <rFont val="Times New Roman"/>
        <family val="1"/>
      </rPr>
      <t xml:space="preserve">        </t>
    </r>
    <r>
      <rPr>
        <sz val="11"/>
        <color theme="1"/>
        <rFont val="Arial"/>
        <family val="2"/>
      </rPr>
      <t xml:space="preserve"> Replacement of equipment</t>
    </r>
    <r>
      <rPr>
        <sz val="11"/>
        <color theme="1"/>
        <rFont val="Arial"/>
        <family val="2"/>
      </rPr>
      <t xml:space="preserve"> (6)</t>
    </r>
  </si>
  <si>
    <t>Cost price</t>
  </si>
  <si>
    <t>Acc depreciation</t>
  </si>
  <si>
    <t>Carrying amount</t>
  </si>
  <si>
    <t>Cash</t>
  </si>
  <si>
    <t>Profit</t>
  </si>
  <si>
    <t>Check: equipment + depreciation (not required)</t>
  </si>
  <si>
    <t>Accummulated depreciation</t>
  </si>
  <si>
    <t xml:space="preserve">Proceeds on disposal of equipment </t>
  </si>
  <si>
    <t>[3]</t>
  </si>
  <si>
    <t>[5]</t>
  </si>
  <si>
    <t>Sub-totals and format</t>
  </si>
  <si>
    <t>[1]</t>
  </si>
  <si>
    <t>[0.5]</t>
  </si>
  <si>
    <t>[1.5]</t>
  </si>
  <si>
    <t>[2.5]</t>
  </si>
  <si>
    <t>[0.5]m</t>
  </si>
  <si>
    <t>CLOWNS (PTY) LTD.</t>
  </si>
  <si>
    <r>
      <t xml:space="preserve">STATEMENT OF CASH FLOWS FOR THE YEAR ENDED 30 APRIL 2024   </t>
    </r>
    <r>
      <rPr>
        <b/>
        <sz val="9"/>
        <color theme="1"/>
        <rFont val="Arial"/>
        <family val="2"/>
      </rPr>
      <t>[1]</t>
    </r>
  </si>
  <si>
    <t>Check:</t>
  </si>
  <si>
    <t xml:space="preserve">Bank </t>
  </si>
  <si>
    <t>Tax payable</t>
  </si>
  <si>
    <t>Alternative calculation</t>
  </si>
  <si>
    <t>Notes for marker:</t>
  </si>
  <si>
    <t>- no format mark if abbreviations used in Statement of cash flows</t>
  </si>
  <si>
    <t>- If extra items in SCF (eg. depreciation): -0.5</t>
  </si>
  <si>
    <t>- If cash in-/outflow under wrong category: -0.5</t>
  </si>
  <si>
    <t>- If brackets wrong: -0.5</t>
  </si>
  <si>
    <t>- If tax paid and tax received: no marks</t>
  </si>
  <si>
    <t>- If interest paid and interest received: no marks (there was no interest paid in this question)</t>
  </si>
  <si>
    <t>- If extra items in debtor account: -0.5</t>
  </si>
  <si>
    <t>- Investing activities: if no additions/expansion and replacement/maintaning: -0.5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</si>
</sst>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sz val="8"/>
      <color rgb="FF000000"/>
      <name val="Arial"/>
      <family val="2"/>
    </font>
    <font>
      <i/>
      <sz val="11"/>
      <color theme="1"/>
      <name val="Arial"/>
      <family val="2"/>
    </font>
    <font>
      <sz val="7"/>
      <color theme="1"/>
      <name val="Times New Roman"/>
      <family val="1"/>
    </font>
    <font>
      <b/>
      <i/>
      <sz val="11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7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2" xfId="0" applyFont="1" applyBorder="1"/>
    <xf numFmtId="164" fontId="5" fillId="0" borderId="1" xfId="1" applyNumberFormat="1" applyFont="1" applyBorder="1" applyAlignment="1">
      <alignment horizontal="right" vertical="center"/>
    </xf>
    <xf numFmtId="164" fontId="5" fillId="0" borderId="0" xfId="1" applyNumberFormat="1" applyFont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right" vertical="center"/>
    </xf>
    <xf numFmtId="164" fontId="5" fillId="0" borderId="2" xfId="1" applyNumberFormat="1" applyFont="1" applyBorder="1" applyAlignment="1">
      <alignment horizontal="center" vertical="center"/>
    </xf>
    <xf numFmtId="164" fontId="5" fillId="0" borderId="3" xfId="1" applyNumberFormat="1" applyFont="1" applyBorder="1" applyAlignment="1">
      <alignment horizontal="right" vertical="center"/>
    </xf>
    <xf numFmtId="164" fontId="5" fillId="0" borderId="3" xfId="1" applyNumberFormat="1" applyFont="1" applyBorder="1" applyAlignment="1">
      <alignment horizontal="center" vertical="center"/>
    </xf>
    <xf numFmtId="164" fontId="5" fillId="0" borderId="0" xfId="1" applyNumberFormat="1" applyFont="1" applyAlignment="1">
      <alignment horizontal="right" vertical="center"/>
    </xf>
    <xf numFmtId="164" fontId="4" fillId="0" borderId="0" xfId="1" applyNumberFormat="1" applyFont="1" applyAlignment="1">
      <alignment horizontal="center" vertical="center"/>
    </xf>
    <xf numFmtId="164" fontId="5" fillId="0" borderId="4" xfId="1" applyNumberFormat="1" applyFont="1" applyBorder="1" applyAlignment="1">
      <alignment horizontal="right" vertical="center"/>
    </xf>
    <xf numFmtId="164" fontId="5" fillId="0" borderId="4" xfId="1" applyNumberFormat="1" applyFont="1" applyBorder="1" applyAlignment="1">
      <alignment horizontal="center" vertical="center"/>
    </xf>
    <xf numFmtId="164" fontId="7" fillId="0" borderId="0" xfId="1" applyNumberFormat="1" applyFont="1" applyAlignment="1">
      <alignment horizontal="right" vertical="center"/>
    </xf>
    <xf numFmtId="164" fontId="7" fillId="0" borderId="0" xfId="1" applyNumberFormat="1" applyFont="1" applyAlignment="1">
      <alignment horizontal="center" vertical="center"/>
    </xf>
    <xf numFmtId="164" fontId="7" fillId="0" borderId="0" xfId="1" applyNumberFormat="1" applyFont="1" applyAlignment="1">
      <alignment vertical="center"/>
    </xf>
    <xf numFmtId="164" fontId="5" fillId="0" borderId="5" xfId="1" applyNumberFormat="1" applyFont="1" applyBorder="1" applyAlignment="1">
      <alignment horizontal="right" vertical="center"/>
    </xf>
    <xf numFmtId="164" fontId="5" fillId="0" borderId="5" xfId="1" applyNumberFormat="1" applyFont="1" applyBorder="1" applyAlignment="1">
      <alignment horizontal="center" vertical="center"/>
    </xf>
    <xf numFmtId="164" fontId="5" fillId="0" borderId="0" xfId="1" applyNumberFormat="1" applyFont="1" applyAlignment="1">
      <alignment vertical="center"/>
    </xf>
    <xf numFmtId="0" fontId="1" fillId="0" borderId="0" xfId="0" applyFont="1" applyAlignment="1">
      <alignment horizontal="justify" vertical="center" wrapText="1"/>
    </xf>
    <xf numFmtId="164" fontId="1" fillId="0" borderId="0" xfId="1" applyNumberFormat="1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 indent="4"/>
    </xf>
    <xf numFmtId="0" fontId="2" fillId="0" borderId="0" xfId="0" applyFont="1" applyAlignment="1">
      <alignment vertical="top" wrapText="1"/>
    </xf>
    <xf numFmtId="164" fontId="2" fillId="0" borderId="0" xfId="1" applyNumberFormat="1" applyFont="1" applyAlignment="1">
      <alignment horizontal="right" vertical="center" wrapText="1"/>
    </xf>
    <xf numFmtId="0" fontId="2" fillId="0" borderId="0" xfId="0" applyFont="1"/>
    <xf numFmtId="164" fontId="0" fillId="0" borderId="0" xfId="1" applyNumberFormat="1" applyFont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9" xfId="1" applyNumberFormat="1" applyFont="1" applyBorder="1"/>
    <xf numFmtId="0" fontId="8" fillId="0" borderId="0" xfId="0" applyFont="1"/>
    <xf numFmtId="164" fontId="0" fillId="0" borderId="11" xfId="1" applyNumberFormat="1" applyFont="1" applyBorder="1"/>
    <xf numFmtId="164" fontId="0" fillId="0" borderId="10" xfId="1" applyNumberFormat="1" applyFont="1" applyBorder="1"/>
    <xf numFmtId="0" fontId="0" fillId="0" borderId="0" xfId="0" quotePrefix="1" applyAlignment="1">
      <alignment horizontal="left" vertical="center" wrapText="1" indent="2"/>
    </xf>
    <xf numFmtId="0" fontId="10" fillId="0" borderId="0" xfId="0" applyFont="1"/>
    <xf numFmtId="164" fontId="8" fillId="0" borderId="0" xfId="1" applyNumberFormat="1" applyFont="1"/>
    <xf numFmtId="164" fontId="8" fillId="0" borderId="6" xfId="1" applyNumberFormat="1" applyFont="1" applyBorder="1"/>
    <xf numFmtId="0" fontId="8" fillId="0" borderId="7" xfId="0" applyFont="1" applyBorder="1"/>
    <xf numFmtId="0" fontId="8" fillId="0" borderId="8" xfId="0" applyFont="1" applyBorder="1"/>
    <xf numFmtId="164" fontId="8" fillId="0" borderId="11" xfId="1" applyNumberFormat="1" applyFont="1" applyBorder="1"/>
    <xf numFmtId="164" fontId="8" fillId="0" borderId="10" xfId="1" applyNumberFormat="1" applyFont="1" applyBorder="1"/>
    <xf numFmtId="164" fontId="5" fillId="0" borderId="12" xfId="1" applyNumberFormat="1" applyFont="1" applyBorder="1" applyAlignment="1">
      <alignment horizontal="right" vertical="center"/>
    </xf>
    <xf numFmtId="164" fontId="5" fillId="0" borderId="12" xfId="1" applyNumberFormat="1" applyFont="1" applyBorder="1" applyAlignment="1">
      <alignment horizontal="center" vertical="center"/>
    </xf>
    <xf numFmtId="164" fontId="5" fillId="0" borderId="2" xfId="1" applyNumberFormat="1" applyFont="1" applyFill="1" applyBorder="1" applyAlignment="1">
      <alignment horizontal="right" vertical="center"/>
    </xf>
    <xf numFmtId="164" fontId="5" fillId="0" borderId="2" xfId="1" applyNumberFormat="1" applyFont="1" applyFill="1" applyBorder="1" applyAlignment="1">
      <alignment horizontal="center" vertical="center"/>
    </xf>
    <xf numFmtId="164" fontId="5" fillId="0" borderId="3" xfId="1" applyNumberFormat="1" applyFont="1" applyFill="1" applyBorder="1" applyAlignment="1">
      <alignment horizontal="right" vertical="center"/>
    </xf>
    <xf numFmtId="164" fontId="5" fillId="0" borderId="3" xfId="1" applyNumberFormat="1" applyFont="1" applyFill="1" applyBorder="1" applyAlignment="1">
      <alignment horizontal="center" vertical="center"/>
    </xf>
    <xf numFmtId="164" fontId="5" fillId="0" borderId="0" xfId="1" applyNumberFormat="1" applyFont="1" applyFill="1" applyAlignment="1">
      <alignment horizontal="right" vertical="center"/>
    </xf>
    <xf numFmtId="164" fontId="5" fillId="0" borderId="0" xfId="1" applyNumberFormat="1" applyFont="1" applyFill="1" applyAlignment="1">
      <alignment horizontal="center" vertical="center"/>
    </xf>
    <xf numFmtId="164" fontId="8" fillId="0" borderId="0" xfId="0" applyNumberFormat="1" applyFont="1"/>
    <xf numFmtId="0" fontId="11" fillId="0" borderId="0" xfId="0" applyFont="1" applyAlignment="1">
      <alignment horizontal="right"/>
    </xf>
    <xf numFmtId="0" fontId="11" fillId="0" borderId="0" xfId="0" applyFont="1" applyAlignment="1">
      <alignment horizontal="right" vertical="center"/>
    </xf>
    <xf numFmtId="164" fontId="1" fillId="0" borderId="0" xfId="1" applyNumberFormat="1" applyFont="1" applyFill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164" fontId="1" fillId="0" borderId="1" xfId="1" applyNumberFormat="1" applyFont="1" applyFill="1" applyBorder="1" applyAlignment="1">
      <alignment horizontal="right" vertical="center" wrapText="1"/>
    </xf>
    <xf numFmtId="164" fontId="2" fillId="0" borderId="0" xfId="1" applyNumberFormat="1" applyFont="1" applyFill="1" applyAlignment="1">
      <alignment vertical="center" wrapText="1"/>
    </xf>
    <xf numFmtId="164" fontId="2" fillId="0" borderId="0" xfId="1" applyNumberFormat="1" applyFont="1" applyFill="1" applyAlignment="1">
      <alignment horizontal="left" vertical="center" wrapText="1" indent="4"/>
    </xf>
    <xf numFmtId="0" fontId="11" fillId="0" borderId="0" xfId="0" applyFont="1" applyAlignment="1">
      <alignment horizontal="right" vertical="center" wrapText="1" indent="4"/>
    </xf>
    <xf numFmtId="0" fontId="8" fillId="0" borderId="0" xfId="0" applyFont="1" applyAlignment="1">
      <alignment horizontal="right"/>
    </xf>
    <xf numFmtId="164" fontId="1" fillId="0" borderId="4" xfId="1" applyNumberFormat="1" applyFont="1" applyFill="1" applyBorder="1" applyAlignment="1">
      <alignment horizontal="right" vertical="center" wrapText="1"/>
    </xf>
    <xf numFmtId="164" fontId="0" fillId="0" borderId="0" xfId="0" applyNumberFormat="1"/>
    <xf numFmtId="164" fontId="0" fillId="0" borderId="0" xfId="1" applyNumberFormat="1" applyFont="1" applyFill="1"/>
    <xf numFmtId="0" fontId="0" fillId="0" borderId="0" xfId="0" applyAlignment="1">
      <alignment horizontal="right"/>
    </xf>
    <xf numFmtId="164" fontId="0" fillId="0" borderId="6" xfId="1" applyNumberFormat="1" applyFont="1" applyFill="1" applyBorder="1"/>
    <xf numFmtId="164" fontId="2" fillId="0" borderId="0" xfId="1" applyNumberFormat="1" applyFont="1" applyFill="1"/>
    <xf numFmtId="164" fontId="0" fillId="0" borderId="9" xfId="1" applyNumberFormat="1" applyFont="1" applyFill="1" applyBorder="1"/>
    <xf numFmtId="0" fontId="11" fillId="0" borderId="9" xfId="0" applyFont="1" applyBorder="1" applyAlignment="1">
      <alignment horizontal="right"/>
    </xf>
    <xf numFmtId="164" fontId="2" fillId="0" borderId="10" xfId="1" applyNumberFormat="1" applyFont="1" applyFill="1" applyBorder="1"/>
    <xf numFmtId="164" fontId="0" fillId="0" borderId="8" xfId="1" applyNumberFormat="1" applyFont="1" applyFill="1" applyBorder="1"/>
    <xf numFmtId="164" fontId="2" fillId="0" borderId="8" xfId="1" applyNumberFormat="1" applyFont="1" applyFill="1" applyBorder="1"/>
    <xf numFmtId="164" fontId="0" fillId="0" borderId="0" xfId="1" applyNumberFormat="1" applyFont="1" applyFill="1" applyBorder="1"/>
    <xf numFmtId="0" fontId="0" fillId="0" borderId="0" xfId="0" applyAlignment="1">
      <alignment horizontal="left"/>
    </xf>
    <xf numFmtId="0" fontId="0" fillId="0" borderId="0" xfId="0" quotePrefix="1"/>
    <xf numFmtId="0" fontId="8" fillId="0" borderId="0" xfId="0" quotePrefix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1" fillId="0" borderId="8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0" fillId="0" borderId="6" xfId="0" applyFont="1" applyBorder="1" applyAlignment="1">
      <alignment horizontal="center"/>
    </xf>
    <xf numFmtId="0" fontId="2" fillId="0" borderId="0" xfId="0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23</xdr:row>
      <xdr:rowOff>28575</xdr:rowOff>
    </xdr:from>
    <xdr:to>
      <xdr:col>3</xdr:col>
      <xdr:colOff>342900</xdr:colOff>
      <xdr:row>26</xdr:row>
      <xdr:rowOff>0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71C3AC59-28D5-4E6A-A9BE-C942B2FBBFAD}"/>
            </a:ext>
          </a:extLst>
        </xdr:cNvPr>
        <xdr:cNvSpPr/>
      </xdr:nvSpPr>
      <xdr:spPr>
        <a:xfrm>
          <a:off x="4438650" y="4371975"/>
          <a:ext cx="295275" cy="514350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47624</xdr:colOff>
      <xdr:row>13</xdr:row>
      <xdr:rowOff>0</xdr:rowOff>
    </xdr:from>
    <xdr:to>
      <xdr:col>2</xdr:col>
      <xdr:colOff>253999</xdr:colOff>
      <xdr:row>15</xdr:row>
      <xdr:rowOff>28575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5CD5D7BF-10F8-900A-ECD5-AFBC71787065}"/>
            </a:ext>
          </a:extLst>
        </xdr:cNvPr>
        <xdr:cNvSpPr/>
      </xdr:nvSpPr>
      <xdr:spPr>
        <a:xfrm>
          <a:off x="3638549" y="2352675"/>
          <a:ext cx="206375" cy="390525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  <xdr:twoCellAnchor>
    <xdr:from>
      <xdr:col>10</xdr:col>
      <xdr:colOff>76200</xdr:colOff>
      <xdr:row>13</xdr:row>
      <xdr:rowOff>1</xdr:rowOff>
    </xdr:from>
    <xdr:to>
      <xdr:col>10</xdr:col>
      <xdr:colOff>219075</xdr:colOff>
      <xdr:row>15</xdr:row>
      <xdr:rowOff>19051</xdr:rowOff>
    </xdr:to>
    <xdr:sp macro="" textlink="">
      <xdr:nvSpPr>
        <xdr:cNvPr id="4" name="Right Brace 3">
          <a:extLst>
            <a:ext uri="{FF2B5EF4-FFF2-40B4-BE49-F238E27FC236}">
              <a16:creationId xmlns:a16="http://schemas.microsoft.com/office/drawing/2014/main" id="{419B2732-6BB9-42A8-A67C-39814C362A43}"/>
            </a:ext>
          </a:extLst>
        </xdr:cNvPr>
        <xdr:cNvSpPr/>
      </xdr:nvSpPr>
      <xdr:spPr>
        <a:xfrm>
          <a:off x="9963150" y="2352676"/>
          <a:ext cx="142875" cy="381000"/>
        </a:xfrm>
        <a:prstGeom prst="righ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ZA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714375</xdr:colOff>
      <xdr:row>5</xdr:row>
      <xdr:rowOff>133350</xdr:rowOff>
    </xdr:from>
    <xdr:to>
      <xdr:col>3</xdr:col>
      <xdr:colOff>304800</xdr:colOff>
      <xdr:row>9</xdr:row>
      <xdr:rowOff>104775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9183B50C-3BD1-3F93-CD18-5D6873BE7580}"/>
            </a:ext>
          </a:extLst>
        </xdr:cNvPr>
        <xdr:cNvCxnSpPr/>
      </xdr:nvCxnSpPr>
      <xdr:spPr>
        <a:xfrm>
          <a:off x="1809750" y="1038225"/>
          <a:ext cx="1476375" cy="6953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714375</xdr:colOff>
      <xdr:row>5</xdr:row>
      <xdr:rowOff>133350</xdr:rowOff>
    </xdr:from>
    <xdr:to>
      <xdr:col>3</xdr:col>
      <xdr:colOff>307975</xdr:colOff>
      <xdr:row>9</xdr:row>
      <xdr:rowOff>101600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E2F649E-F94A-4DB4-B399-DDCD411C4CF1}"/>
            </a:ext>
          </a:extLst>
        </xdr:cNvPr>
        <xdr:cNvCxnSpPr/>
      </xdr:nvCxnSpPr>
      <xdr:spPr>
        <a:xfrm>
          <a:off x="1809750" y="1038225"/>
          <a:ext cx="1479550" cy="6921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20</xdr:row>
      <xdr:rowOff>38100</xdr:rowOff>
    </xdr:from>
    <xdr:to>
      <xdr:col>3</xdr:col>
      <xdr:colOff>628650</xdr:colOff>
      <xdr:row>23</xdr:row>
      <xdr:rowOff>142875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EC04B40-9B7E-46DA-AF36-9293C4AE5BAF}"/>
            </a:ext>
          </a:extLst>
        </xdr:cNvPr>
        <xdr:cNvCxnSpPr/>
      </xdr:nvCxnSpPr>
      <xdr:spPr>
        <a:xfrm flipV="1">
          <a:off x="1885950" y="3657600"/>
          <a:ext cx="1724025" cy="64770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714375</xdr:colOff>
      <xdr:row>5</xdr:row>
      <xdr:rowOff>133350</xdr:rowOff>
    </xdr:from>
    <xdr:to>
      <xdr:col>3</xdr:col>
      <xdr:colOff>314325</xdr:colOff>
      <xdr:row>9</xdr:row>
      <xdr:rowOff>104775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CA09B69F-E0CC-4C5C-855A-8BC1A92C8432}"/>
            </a:ext>
          </a:extLst>
        </xdr:cNvPr>
        <xdr:cNvCxnSpPr/>
      </xdr:nvCxnSpPr>
      <xdr:spPr>
        <a:xfrm>
          <a:off x="1809750" y="1038225"/>
          <a:ext cx="1485900" cy="6953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447675</xdr:colOff>
      <xdr:row>33</xdr:row>
      <xdr:rowOff>171450</xdr:rowOff>
    </xdr:from>
    <xdr:to>
      <xdr:col>3</xdr:col>
      <xdr:colOff>44450</xdr:colOff>
      <xdr:row>37</xdr:row>
      <xdr:rowOff>142875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DEA2529-A2C3-41C2-B874-E6F1A7D95491}"/>
            </a:ext>
          </a:extLst>
        </xdr:cNvPr>
        <xdr:cNvCxnSpPr/>
      </xdr:nvCxnSpPr>
      <xdr:spPr>
        <a:xfrm>
          <a:off x="1543050" y="6143625"/>
          <a:ext cx="1482725" cy="69532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552450</xdr:colOff>
      <xdr:row>47</xdr:row>
      <xdr:rowOff>171450</xdr:rowOff>
    </xdr:from>
    <xdr:to>
      <xdr:col>3</xdr:col>
      <xdr:colOff>152400</xdr:colOff>
      <xdr:row>51</xdr:row>
      <xdr:rowOff>139700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DA7097AC-6D94-46F2-95FC-53CC7D99E131}"/>
            </a:ext>
          </a:extLst>
        </xdr:cNvPr>
        <xdr:cNvCxnSpPr/>
      </xdr:nvCxnSpPr>
      <xdr:spPr>
        <a:xfrm>
          <a:off x="1647825" y="8677275"/>
          <a:ext cx="1485900" cy="69215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6C242-0008-4ABC-A78E-81A076A0FF84}">
  <dimension ref="A1:E45"/>
  <sheetViews>
    <sheetView workbookViewId="0">
      <selection activeCell="A10" sqref="A10:XFD10"/>
    </sheetView>
  </sheetViews>
  <sheetFormatPr defaultRowHeight="14" x14ac:dyDescent="0.3"/>
  <cols>
    <col min="1" max="1" width="27.75" customWidth="1"/>
    <col min="3" max="3" width="16.1640625" customWidth="1"/>
    <col min="4" max="4" width="3.4140625" customWidth="1"/>
    <col min="5" max="5" width="15.83203125" customWidth="1"/>
  </cols>
  <sheetData>
    <row r="1" spans="1:5" ht="14.5" x14ac:dyDescent="0.35">
      <c r="A1" s="1"/>
      <c r="B1" s="1"/>
      <c r="C1" s="2">
        <v>2024</v>
      </c>
      <c r="D1" s="1"/>
      <c r="E1" s="2">
        <v>2023</v>
      </c>
    </row>
    <row r="2" spans="1:5" ht="14.5" x14ac:dyDescent="0.35">
      <c r="A2" s="3" t="s">
        <v>0</v>
      </c>
      <c r="B2" s="2" t="s">
        <v>1</v>
      </c>
      <c r="C2" s="2" t="s">
        <v>2</v>
      </c>
      <c r="D2" s="1"/>
      <c r="E2" s="2" t="s">
        <v>2</v>
      </c>
    </row>
    <row r="3" spans="1:5" ht="14.5" x14ac:dyDescent="0.35">
      <c r="A3" s="1"/>
      <c r="B3" s="1"/>
      <c r="C3" s="1"/>
      <c r="D3" s="1"/>
      <c r="E3" s="1"/>
    </row>
    <row r="4" spans="1:5" ht="15" thickBot="1" x14ac:dyDescent="0.4">
      <c r="A4" s="4" t="s">
        <v>3</v>
      </c>
      <c r="B4" s="1"/>
      <c r="C4" s="10">
        <f>SUM(C5:C5)</f>
        <v>9450000</v>
      </c>
      <c r="D4" s="11"/>
      <c r="E4" s="12">
        <f>SUM(E5:E5)</f>
        <v>4995000</v>
      </c>
    </row>
    <row r="5" spans="1:5" ht="14.5" thickBot="1" x14ac:dyDescent="0.35">
      <c r="A5" s="6" t="s">
        <v>4</v>
      </c>
      <c r="B5" s="7">
        <v>1</v>
      </c>
      <c r="C5" s="55">
        <v>9450000</v>
      </c>
      <c r="D5" s="14"/>
      <c r="E5" s="56">
        <v>4995000</v>
      </c>
    </row>
    <row r="6" spans="1:5" ht="14.5" x14ac:dyDescent="0.35">
      <c r="A6" s="1"/>
      <c r="B6" s="5"/>
      <c r="C6" s="17"/>
      <c r="D6" s="11"/>
      <c r="E6" s="11"/>
    </row>
    <row r="7" spans="1:5" ht="15" thickBot="1" x14ac:dyDescent="0.35">
      <c r="A7" s="4" t="s">
        <v>5</v>
      </c>
      <c r="B7" s="5"/>
      <c r="C7" s="10">
        <f>SUM(C8:C10)</f>
        <v>269000</v>
      </c>
      <c r="D7" s="18"/>
      <c r="E7" s="12">
        <f>SUM(E8:E10)</f>
        <v>194750</v>
      </c>
    </row>
    <row r="8" spans="1:5" x14ac:dyDescent="0.3">
      <c r="A8" s="6" t="s">
        <v>6</v>
      </c>
      <c r="B8" s="7"/>
      <c r="C8" s="13">
        <v>247500</v>
      </c>
      <c r="D8" s="14"/>
      <c r="E8" s="14">
        <v>189000</v>
      </c>
    </row>
    <row r="9" spans="1:5" x14ac:dyDescent="0.3">
      <c r="A9" s="6" t="s">
        <v>22</v>
      </c>
      <c r="B9" s="7"/>
      <c r="C9" s="57">
        <v>10250</v>
      </c>
      <c r="D9" s="58"/>
      <c r="E9" s="58">
        <v>5750</v>
      </c>
    </row>
    <row r="10" spans="1:5" ht="14.5" thickBot="1" x14ac:dyDescent="0.35">
      <c r="A10" s="6" t="s">
        <v>7</v>
      </c>
      <c r="B10" s="7"/>
      <c r="C10" s="59">
        <v>11250</v>
      </c>
      <c r="D10" s="58"/>
      <c r="E10" s="60">
        <v>0</v>
      </c>
    </row>
    <row r="11" spans="1:5" ht="15" thickBot="1" x14ac:dyDescent="0.4">
      <c r="A11" s="1"/>
      <c r="B11" s="5"/>
      <c r="C11" s="61"/>
      <c r="D11" s="62"/>
      <c r="E11" s="62"/>
    </row>
    <row r="12" spans="1:5" ht="14.5" thickBot="1" x14ac:dyDescent="0.35">
      <c r="A12" s="6" t="s">
        <v>8</v>
      </c>
      <c r="B12" s="5"/>
      <c r="C12" s="19">
        <f>C4+C7</f>
        <v>9719000</v>
      </c>
      <c r="D12" s="11"/>
      <c r="E12" s="20">
        <f>E4+E7</f>
        <v>5189750</v>
      </c>
    </row>
    <row r="13" spans="1:5" ht="15" thickTop="1" x14ac:dyDescent="0.35">
      <c r="A13" s="1"/>
      <c r="B13" s="5"/>
      <c r="C13" s="17"/>
      <c r="D13" s="11"/>
      <c r="E13" s="11"/>
    </row>
    <row r="14" spans="1:5" x14ac:dyDescent="0.3">
      <c r="A14" s="3" t="s">
        <v>9</v>
      </c>
      <c r="B14" s="5"/>
      <c r="C14" s="17"/>
      <c r="D14" s="11"/>
      <c r="E14" s="11"/>
    </row>
    <row r="15" spans="1:5" ht="14.5" x14ac:dyDescent="0.35">
      <c r="A15" s="1"/>
      <c r="B15" s="5"/>
      <c r="C15" s="17"/>
      <c r="D15" s="11"/>
      <c r="E15" s="11"/>
    </row>
    <row r="16" spans="1:5" x14ac:dyDescent="0.3">
      <c r="A16" s="6" t="s">
        <v>10</v>
      </c>
      <c r="B16" s="5"/>
      <c r="C16" s="17">
        <v>7798500</v>
      </c>
      <c r="D16" s="11"/>
      <c r="E16" s="11">
        <v>4311000</v>
      </c>
    </row>
    <row r="17" spans="1:5" x14ac:dyDescent="0.3">
      <c r="A17" s="6" t="s">
        <v>11</v>
      </c>
      <c r="B17" s="5"/>
      <c r="C17" s="17">
        <v>469800</v>
      </c>
      <c r="D17" s="11"/>
      <c r="E17" s="11">
        <v>73350</v>
      </c>
    </row>
    <row r="18" spans="1:5" x14ac:dyDescent="0.3">
      <c r="A18" s="6" t="s">
        <v>12</v>
      </c>
      <c r="B18" s="5"/>
      <c r="C18" s="17">
        <v>225000</v>
      </c>
      <c r="D18" s="11"/>
      <c r="E18" s="11">
        <v>0</v>
      </c>
    </row>
    <row r="19" spans="1:5" ht="15" thickBot="1" x14ac:dyDescent="0.4">
      <c r="A19" s="1"/>
      <c r="B19" s="8"/>
      <c r="C19" s="21"/>
      <c r="D19" s="22"/>
      <c r="E19" s="23"/>
    </row>
    <row r="20" spans="1:5" ht="14.5" thickBot="1" x14ac:dyDescent="0.35">
      <c r="A20" s="6" t="s">
        <v>13</v>
      </c>
      <c r="B20" s="5"/>
      <c r="C20" s="24">
        <f>SUM(C16:C18)</f>
        <v>8493300</v>
      </c>
      <c r="D20" s="11"/>
      <c r="E20" s="25">
        <f t="shared" ref="E20" si="0">SUM(E16:E18)</f>
        <v>4384350</v>
      </c>
    </row>
    <row r="21" spans="1:5" ht="14.5" x14ac:dyDescent="0.35">
      <c r="A21" s="1"/>
      <c r="B21" s="5"/>
      <c r="C21" s="17"/>
      <c r="D21" s="11"/>
      <c r="E21" s="11"/>
    </row>
    <row r="22" spans="1:5" ht="15" thickBot="1" x14ac:dyDescent="0.35">
      <c r="A22" s="4" t="s">
        <v>14</v>
      </c>
      <c r="B22" s="2"/>
      <c r="C22" s="17">
        <f>SUM(C23:C23)</f>
        <v>1182500</v>
      </c>
      <c r="D22" s="11"/>
      <c r="E22" s="11">
        <f>SUM(E23:E23)</f>
        <v>777500</v>
      </c>
    </row>
    <row r="23" spans="1:5" ht="14.5" thickBot="1" x14ac:dyDescent="0.35">
      <c r="A23" s="6" t="s">
        <v>15</v>
      </c>
      <c r="B23" s="5"/>
      <c r="C23" s="55">
        <v>1182500</v>
      </c>
      <c r="D23" s="11"/>
      <c r="E23" s="56">
        <v>777500</v>
      </c>
    </row>
    <row r="24" spans="1:5" ht="14.5" x14ac:dyDescent="0.35">
      <c r="A24" s="1"/>
      <c r="B24" s="5"/>
      <c r="C24" s="17"/>
      <c r="D24" s="11"/>
      <c r="E24" s="11"/>
    </row>
    <row r="25" spans="1:5" ht="15" thickBot="1" x14ac:dyDescent="0.35">
      <c r="A25" s="4" t="s">
        <v>16</v>
      </c>
      <c r="B25" s="5"/>
      <c r="C25" s="10">
        <f>SUM(C26:C28)</f>
        <v>43200</v>
      </c>
      <c r="D25" s="18"/>
      <c r="E25" s="12">
        <f t="shared" ref="E25" si="1">SUM(E26:E28)</f>
        <v>27900</v>
      </c>
    </row>
    <row r="26" spans="1:5" x14ac:dyDescent="0.3">
      <c r="A26" s="6" t="s">
        <v>17</v>
      </c>
      <c r="B26" s="7"/>
      <c r="C26" s="13">
        <v>13500</v>
      </c>
      <c r="D26" s="14"/>
      <c r="E26" s="14">
        <v>10800</v>
      </c>
    </row>
    <row r="27" spans="1:5" x14ac:dyDescent="0.3">
      <c r="A27" s="6" t="s">
        <v>18</v>
      </c>
      <c r="B27" s="7"/>
      <c r="C27" s="13">
        <v>0</v>
      </c>
      <c r="D27" s="14"/>
      <c r="E27" s="14">
        <v>5400</v>
      </c>
    </row>
    <row r="28" spans="1:5" ht="15" thickBot="1" x14ac:dyDescent="0.4">
      <c r="A28" s="6" t="s">
        <v>19</v>
      </c>
      <c r="B28" s="9"/>
      <c r="C28" s="15">
        <v>29700</v>
      </c>
      <c r="D28" s="14"/>
      <c r="E28" s="16">
        <v>11700</v>
      </c>
    </row>
    <row r="29" spans="1:5" ht="15" thickBot="1" x14ac:dyDescent="0.4">
      <c r="A29" s="1"/>
      <c r="B29" s="1"/>
      <c r="C29" s="17"/>
      <c r="D29" s="11"/>
      <c r="E29" s="11"/>
    </row>
    <row r="30" spans="1:5" ht="15" thickBot="1" x14ac:dyDescent="0.4">
      <c r="A30" s="6" t="s">
        <v>20</v>
      </c>
      <c r="B30" s="1"/>
      <c r="C30" s="24">
        <f>C22+C25</f>
        <v>1225700</v>
      </c>
      <c r="D30" s="11"/>
      <c r="E30" s="25">
        <f>E22+E25</f>
        <v>805400</v>
      </c>
    </row>
    <row r="31" spans="1:5" ht="15" thickBot="1" x14ac:dyDescent="0.4">
      <c r="A31" s="1"/>
      <c r="B31" s="1"/>
      <c r="C31" s="17"/>
      <c r="D31" s="11"/>
      <c r="E31" s="26"/>
    </row>
    <row r="32" spans="1:5" ht="15" thickBot="1" x14ac:dyDescent="0.4">
      <c r="A32" s="6" t="s">
        <v>21</v>
      </c>
      <c r="B32" s="1"/>
      <c r="C32" s="19">
        <f>C30+C20</f>
        <v>9719000</v>
      </c>
      <c r="D32" s="11"/>
      <c r="E32" s="20">
        <f>E30+E20</f>
        <v>5189750</v>
      </c>
    </row>
    <row r="33" spans="1:5" ht="14.5" thickTop="1" x14ac:dyDescent="0.3"/>
    <row r="35" spans="1:5" s="44" customFormat="1" ht="14.5" x14ac:dyDescent="0.35">
      <c r="A35" s="44" t="s">
        <v>98</v>
      </c>
      <c r="C35" s="63">
        <f>C32-C12</f>
        <v>0</v>
      </c>
      <c r="E35" s="63">
        <f>E32-E12</f>
        <v>0</v>
      </c>
    </row>
    <row r="38" spans="1:5" x14ac:dyDescent="0.3">
      <c r="A38" s="27"/>
      <c r="B38" s="27"/>
      <c r="C38" s="29" t="s">
        <v>2</v>
      </c>
    </row>
    <row r="39" spans="1:5" x14ac:dyDescent="0.3">
      <c r="A39" s="27" t="s">
        <v>23</v>
      </c>
      <c r="B39" s="27"/>
      <c r="C39" s="28">
        <v>3375000</v>
      </c>
    </row>
    <row r="40" spans="1:5" x14ac:dyDescent="0.3">
      <c r="A40" s="27" t="s">
        <v>24</v>
      </c>
      <c r="B40" s="27"/>
      <c r="C40" s="28">
        <v>502200</v>
      </c>
    </row>
    <row r="41" spans="1:5" x14ac:dyDescent="0.3">
      <c r="A41" s="27" t="s">
        <v>25</v>
      </c>
      <c r="B41" s="27"/>
      <c r="C41" s="28">
        <v>105750</v>
      </c>
    </row>
    <row r="42" spans="1:5" x14ac:dyDescent="0.3">
      <c r="A42" s="27" t="s">
        <v>26</v>
      </c>
      <c r="B42" s="27"/>
      <c r="C42" s="28">
        <v>112500</v>
      </c>
    </row>
    <row r="43" spans="1:5" x14ac:dyDescent="0.3">
      <c r="A43" s="27" t="s">
        <v>27</v>
      </c>
      <c r="B43" s="27"/>
      <c r="C43" s="28">
        <v>38250</v>
      </c>
    </row>
    <row r="44" spans="1:5" x14ac:dyDescent="0.3">
      <c r="A44" s="27" t="s">
        <v>28</v>
      </c>
      <c r="B44" s="27"/>
      <c r="C44" s="28">
        <v>27000</v>
      </c>
    </row>
    <row r="45" spans="1:5" x14ac:dyDescent="0.3">
      <c r="A45" s="27" t="s">
        <v>45</v>
      </c>
      <c r="B45" s="27"/>
      <c r="C45" s="28">
        <v>22500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08435-33D3-4A75-8C42-6B250A4E7873}">
  <dimension ref="A1:E38"/>
  <sheetViews>
    <sheetView tabSelected="1" workbookViewId="0">
      <selection activeCell="G25" sqref="G25"/>
    </sheetView>
  </sheetViews>
  <sheetFormatPr defaultRowHeight="14" x14ac:dyDescent="0.3"/>
  <cols>
    <col min="1" max="1" width="39.9140625" customWidth="1"/>
    <col min="2" max="2" width="10.33203125" customWidth="1"/>
    <col min="3" max="3" width="11.6640625" customWidth="1"/>
    <col min="4" max="4" width="7.25" style="64" customWidth="1"/>
    <col min="5" max="5" width="10.08203125" bestFit="1" customWidth="1"/>
  </cols>
  <sheetData>
    <row r="1" spans="1:4" x14ac:dyDescent="0.3">
      <c r="A1" s="88" t="s">
        <v>96</v>
      </c>
      <c r="B1" s="88"/>
      <c r="C1" s="88"/>
    </row>
    <row r="2" spans="1:4" x14ac:dyDescent="0.3">
      <c r="A2" s="38" t="s">
        <v>97</v>
      </c>
      <c r="B2" s="38"/>
      <c r="C2" s="38"/>
    </row>
    <row r="3" spans="1:4" x14ac:dyDescent="0.3">
      <c r="A3" s="30"/>
      <c r="B3" s="32"/>
      <c r="C3" s="29" t="s">
        <v>2</v>
      </c>
      <c r="D3" s="65"/>
    </row>
    <row r="4" spans="1:4" x14ac:dyDescent="0.3">
      <c r="A4" s="30" t="s">
        <v>29</v>
      </c>
      <c r="B4" s="32"/>
      <c r="C4" s="37"/>
      <c r="D4" s="65"/>
    </row>
    <row r="5" spans="1:4" x14ac:dyDescent="0.3">
      <c r="A5" s="32" t="s">
        <v>43</v>
      </c>
      <c r="B5" s="31"/>
      <c r="C5" s="66">
        <f>'Calc 1+2'!B6</f>
        <v>3303000</v>
      </c>
      <c r="D5" s="67" t="s">
        <v>88</v>
      </c>
    </row>
    <row r="6" spans="1:4" ht="14.5" thickBot="1" x14ac:dyDescent="0.35">
      <c r="A6" s="32" t="s">
        <v>44</v>
      </c>
      <c r="B6" s="31"/>
      <c r="C6" s="68">
        <f>'Calc 1+2'!B32</f>
        <v>-2831850</v>
      </c>
      <c r="D6" s="67" t="s">
        <v>89</v>
      </c>
    </row>
    <row r="7" spans="1:4" x14ac:dyDescent="0.3">
      <c r="A7" s="32" t="s">
        <v>30</v>
      </c>
      <c r="B7" s="31"/>
      <c r="C7" s="66">
        <f>SUM(C5:C6)</f>
        <v>471150</v>
      </c>
      <c r="D7" s="67"/>
    </row>
    <row r="8" spans="1:4" ht="14.5" thickBot="1" x14ac:dyDescent="0.35">
      <c r="A8" s="32" t="s">
        <v>69</v>
      </c>
      <c r="B8" s="31"/>
      <c r="C8" s="68">
        <f>-'Calc 3-6'!B23</f>
        <v>-87750</v>
      </c>
      <c r="D8" s="67" t="s">
        <v>93</v>
      </c>
    </row>
    <row r="9" spans="1:4" ht="14.5" x14ac:dyDescent="0.3">
      <c r="A9" s="33"/>
      <c r="B9" s="31"/>
      <c r="C9" s="66">
        <f>SUM(C7:C8)</f>
        <v>383400</v>
      </c>
      <c r="D9" s="67"/>
    </row>
    <row r="10" spans="1:4" x14ac:dyDescent="0.3">
      <c r="A10" s="30" t="s">
        <v>34</v>
      </c>
      <c r="B10" s="30"/>
      <c r="C10" s="69"/>
      <c r="D10" s="67"/>
    </row>
    <row r="11" spans="1:4" x14ac:dyDescent="0.3">
      <c r="A11" s="32" t="s">
        <v>35</v>
      </c>
      <c r="B11" s="31"/>
      <c r="C11" s="66"/>
      <c r="D11" s="67"/>
    </row>
    <row r="12" spans="1:4" x14ac:dyDescent="0.3">
      <c r="A12" s="47" t="s">
        <v>70</v>
      </c>
      <c r="B12" s="31"/>
      <c r="C12" s="66">
        <f>-'Calc 3-6'!B37</f>
        <v>-4275000</v>
      </c>
      <c r="D12" s="67" t="s">
        <v>93</v>
      </c>
    </row>
    <row r="13" spans="1:4" x14ac:dyDescent="0.3">
      <c r="A13" s="47" t="s">
        <v>79</v>
      </c>
      <c r="B13" s="31"/>
      <c r="C13" s="66">
        <f>-'Calc 3-6'!B51</f>
        <v>-180000</v>
      </c>
      <c r="D13" s="67" t="s">
        <v>93</v>
      </c>
    </row>
    <row r="14" spans="1:4" x14ac:dyDescent="0.3">
      <c r="A14" s="32" t="s">
        <v>87</v>
      </c>
      <c r="B14" s="31"/>
      <c r="C14" s="66">
        <v>135000</v>
      </c>
      <c r="D14" s="67" t="s">
        <v>92</v>
      </c>
    </row>
    <row r="15" spans="1:4" x14ac:dyDescent="0.3">
      <c r="A15" s="32" t="s">
        <v>66</v>
      </c>
      <c r="B15" s="31"/>
      <c r="C15" s="66">
        <f>'Calc 3-6'!D9</f>
        <v>33750</v>
      </c>
      <c r="D15" s="67" t="s">
        <v>93</v>
      </c>
    </row>
    <row r="16" spans="1:4" ht="14.5" thickBot="1" x14ac:dyDescent="0.35">
      <c r="A16" s="32" t="s">
        <v>32</v>
      </c>
      <c r="B16" s="31"/>
      <c r="C16" s="68">
        <f>Info!C44</f>
        <v>27000</v>
      </c>
      <c r="D16" s="67" t="s">
        <v>92</v>
      </c>
    </row>
    <row r="17" spans="1:5" x14ac:dyDescent="0.3">
      <c r="A17" s="34"/>
      <c r="B17" s="31"/>
      <c r="C17" s="66">
        <f>SUM(C12:C16)</f>
        <v>-4259250</v>
      </c>
      <c r="D17" s="67"/>
    </row>
    <row r="18" spans="1:5" x14ac:dyDescent="0.3">
      <c r="A18" s="30"/>
      <c r="B18" s="31"/>
      <c r="C18" s="66"/>
      <c r="D18" s="67"/>
    </row>
    <row r="19" spans="1:5" x14ac:dyDescent="0.3">
      <c r="A19" s="36" t="s">
        <v>37</v>
      </c>
      <c r="B19" s="35"/>
      <c r="C19" s="70"/>
      <c r="D19" s="71"/>
    </row>
    <row r="20" spans="1:5" x14ac:dyDescent="0.3">
      <c r="A20" s="32" t="s">
        <v>38</v>
      </c>
      <c r="B20" s="31"/>
      <c r="C20" s="66">
        <f>Info!C16-Info!E16</f>
        <v>3487500</v>
      </c>
      <c r="D20" s="67" t="s">
        <v>91</v>
      </c>
    </row>
    <row r="21" spans="1:5" ht="14.5" thickBot="1" x14ac:dyDescent="0.35">
      <c r="A21" s="32" t="s">
        <v>39</v>
      </c>
      <c r="B21" s="31"/>
      <c r="C21" s="68">
        <f>Info!C23-Info!E23</f>
        <v>405000</v>
      </c>
      <c r="D21" s="67" t="s">
        <v>91</v>
      </c>
    </row>
    <row r="22" spans="1:5" ht="14.5" x14ac:dyDescent="0.3">
      <c r="A22" s="33"/>
      <c r="B22" s="31"/>
      <c r="C22" s="66">
        <f>SUM(C19:C21)</f>
        <v>3892500</v>
      </c>
      <c r="D22" s="67"/>
    </row>
    <row r="23" spans="1:5" ht="14.5" x14ac:dyDescent="0.35">
      <c r="A23" s="32"/>
      <c r="B23" s="31"/>
      <c r="C23" s="66"/>
      <c r="D23" s="67"/>
      <c r="E23" s="72" t="s">
        <v>98</v>
      </c>
    </row>
    <row r="24" spans="1:5" ht="14.5" x14ac:dyDescent="0.35">
      <c r="A24" s="30" t="s">
        <v>40</v>
      </c>
      <c r="B24" s="31"/>
      <c r="C24" s="66">
        <f>C26-C25</f>
        <v>16650</v>
      </c>
      <c r="D24" s="67"/>
      <c r="E24" s="63">
        <f>C9+C17+C22</f>
        <v>16650</v>
      </c>
    </row>
    <row r="25" spans="1:5" ht="14.5" thickBot="1" x14ac:dyDescent="0.35">
      <c r="A25" s="32" t="s">
        <v>41</v>
      </c>
      <c r="B25" s="31"/>
      <c r="C25" s="66">
        <f>-Info!E27</f>
        <v>-5400</v>
      </c>
      <c r="D25" s="67" t="s">
        <v>91</v>
      </c>
    </row>
    <row r="26" spans="1:5" ht="14.5" thickBot="1" x14ac:dyDescent="0.35">
      <c r="A26" s="32" t="s">
        <v>42</v>
      </c>
      <c r="B26" s="31"/>
      <c r="C26" s="73">
        <f>Info!C10</f>
        <v>11250</v>
      </c>
      <c r="D26" s="67"/>
    </row>
    <row r="27" spans="1:5" ht="14.5" thickTop="1" x14ac:dyDescent="0.3">
      <c r="E27" s="74"/>
    </row>
    <row r="28" spans="1:5" x14ac:dyDescent="0.3">
      <c r="A28" s="89" t="s">
        <v>90</v>
      </c>
      <c r="B28" s="89"/>
      <c r="C28" s="89"/>
      <c r="D28" s="64" t="s">
        <v>91</v>
      </c>
    </row>
    <row r="31" spans="1:5" x14ac:dyDescent="0.3">
      <c r="A31" s="38" t="s">
        <v>102</v>
      </c>
    </row>
    <row r="32" spans="1:5" x14ac:dyDescent="0.3">
      <c r="A32" s="86" t="s">
        <v>103</v>
      </c>
    </row>
    <row r="33" spans="1:1" x14ac:dyDescent="0.3">
      <c r="A33" s="86" t="s">
        <v>104</v>
      </c>
    </row>
    <row r="34" spans="1:1" x14ac:dyDescent="0.3">
      <c r="A34" s="86" t="s">
        <v>105</v>
      </c>
    </row>
    <row r="35" spans="1:1" x14ac:dyDescent="0.3">
      <c r="A35" s="86" t="s">
        <v>106</v>
      </c>
    </row>
    <row r="36" spans="1:1" x14ac:dyDescent="0.3">
      <c r="A36" s="86" t="s">
        <v>107</v>
      </c>
    </row>
    <row r="37" spans="1:1" x14ac:dyDescent="0.3">
      <c r="A37" s="86" t="s">
        <v>108</v>
      </c>
    </row>
    <row r="38" spans="1:1" x14ac:dyDescent="0.3">
      <c r="A38" s="86" t="s">
        <v>110</v>
      </c>
    </row>
  </sheetData>
  <mergeCells count="2">
    <mergeCell ref="A1:C1"/>
    <mergeCell ref="A28:C28"/>
  </mergeCells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59A36-C84F-494F-9465-015A2CD47508}">
  <sheetPr>
    <pageSetUpPr fitToPage="1"/>
  </sheetPr>
  <dimension ref="A1:K37"/>
  <sheetViews>
    <sheetView workbookViewId="0"/>
  </sheetViews>
  <sheetFormatPr defaultRowHeight="14" x14ac:dyDescent="0.3"/>
  <cols>
    <col min="1" max="1" width="36.25" customWidth="1"/>
    <col min="2" max="2" width="10.9140625" style="39" customWidth="1"/>
    <col min="3" max="3" width="5.58203125" style="64" customWidth="1"/>
    <col min="4" max="4" width="14.25" customWidth="1"/>
    <col min="5" max="5" width="10.4140625" customWidth="1"/>
    <col min="6" max="6" width="9.4140625" customWidth="1"/>
    <col min="7" max="7" width="7.83203125" customWidth="1"/>
    <col min="9" max="9" width="10.08203125" style="64" bestFit="1" customWidth="1"/>
    <col min="10" max="10" width="10.9140625" customWidth="1"/>
    <col min="11" max="11" width="5.75" customWidth="1"/>
  </cols>
  <sheetData>
    <row r="1" spans="1:11" x14ac:dyDescent="0.3">
      <c r="A1" s="38" t="s">
        <v>46</v>
      </c>
      <c r="B1" s="75"/>
    </row>
    <row r="2" spans="1:11" x14ac:dyDescent="0.3">
      <c r="B2" s="75"/>
    </row>
    <row r="3" spans="1:11" x14ac:dyDescent="0.3">
      <c r="A3" s="30" t="s">
        <v>47</v>
      </c>
      <c r="B3" s="75"/>
      <c r="E3" s="92" t="s">
        <v>50</v>
      </c>
      <c r="F3" s="92"/>
      <c r="G3" s="92"/>
      <c r="H3" s="92"/>
    </row>
    <row r="4" spans="1:11" x14ac:dyDescent="0.3">
      <c r="A4" t="s">
        <v>48</v>
      </c>
      <c r="B4" s="75">
        <f>Info!C39</f>
        <v>3375000</v>
      </c>
      <c r="C4" s="64" t="s">
        <v>92</v>
      </c>
      <c r="E4" t="s">
        <v>51</v>
      </c>
      <c r="F4" s="75">
        <f>189000+9000</f>
        <v>198000</v>
      </c>
      <c r="G4" s="40"/>
      <c r="H4" s="75"/>
      <c r="I4" s="64" t="s">
        <v>91</v>
      </c>
      <c r="J4" s="85" t="s">
        <v>53</v>
      </c>
    </row>
    <row r="5" spans="1:11" x14ac:dyDescent="0.3">
      <c r="A5" t="s">
        <v>49</v>
      </c>
      <c r="B5" s="77">
        <f>-F6</f>
        <v>-72000</v>
      </c>
      <c r="C5" s="64" t="s">
        <v>94</v>
      </c>
      <c r="F5" s="75"/>
      <c r="G5" s="41"/>
      <c r="H5" s="75"/>
      <c r="J5" s="76"/>
    </row>
    <row r="6" spans="1:11" x14ac:dyDescent="0.3">
      <c r="B6" s="78">
        <f>SUM(B4:B5)</f>
        <v>3303000</v>
      </c>
      <c r="E6" t="s">
        <v>55</v>
      </c>
      <c r="F6" s="75">
        <f>H8-F4</f>
        <v>72000</v>
      </c>
      <c r="G6" s="41"/>
      <c r="H6" s="75"/>
      <c r="I6" s="64" t="s">
        <v>95</v>
      </c>
      <c r="J6" s="76"/>
    </row>
    <row r="7" spans="1:11" x14ac:dyDescent="0.3">
      <c r="A7" s="38"/>
      <c r="B7" s="75"/>
      <c r="F7" s="75"/>
      <c r="G7" s="41"/>
      <c r="H7" s="75"/>
      <c r="J7" s="76"/>
    </row>
    <row r="8" spans="1:11" ht="14.5" x14ac:dyDescent="0.35">
      <c r="A8" s="87" t="s">
        <v>109</v>
      </c>
      <c r="B8" s="75"/>
      <c r="F8" s="75"/>
      <c r="G8" s="41" t="s">
        <v>52</v>
      </c>
      <c r="H8" s="75">
        <f>247500+22500</f>
        <v>270000</v>
      </c>
      <c r="I8" s="64" t="s">
        <v>91</v>
      </c>
      <c r="J8" s="85" t="s">
        <v>54</v>
      </c>
    </row>
    <row r="9" spans="1:11" x14ac:dyDescent="0.3">
      <c r="B9" s="75"/>
      <c r="F9" s="75"/>
      <c r="H9" s="75"/>
    </row>
    <row r="10" spans="1:11" x14ac:dyDescent="0.3">
      <c r="A10" s="42"/>
      <c r="B10" s="79"/>
      <c r="C10" s="80"/>
      <c r="D10" s="42"/>
      <c r="E10" s="42"/>
      <c r="F10" s="79"/>
      <c r="G10" s="42"/>
      <c r="H10" s="79"/>
      <c r="I10" s="80"/>
      <c r="J10" s="42"/>
    </row>
    <row r="11" spans="1:11" x14ac:dyDescent="0.3">
      <c r="A11" s="38" t="s">
        <v>56</v>
      </c>
      <c r="B11" s="75"/>
      <c r="E11" s="83" t="s">
        <v>101</v>
      </c>
      <c r="G11" s="84"/>
      <c r="H11" s="64"/>
      <c r="I11"/>
    </row>
    <row r="12" spans="1:11" x14ac:dyDescent="0.3">
      <c r="B12" s="75"/>
      <c r="E12" s="82"/>
      <c r="G12" s="84"/>
      <c r="H12" s="64"/>
      <c r="I12"/>
    </row>
    <row r="13" spans="1:11" ht="14" customHeight="1" x14ac:dyDescent="0.3">
      <c r="A13" s="30" t="s">
        <v>57</v>
      </c>
      <c r="B13" s="75"/>
      <c r="E13" s="93" t="s">
        <v>57</v>
      </c>
      <c r="F13" s="94"/>
      <c r="G13" s="94"/>
      <c r="H13" s="94"/>
      <c r="I13" s="94"/>
    </row>
    <row r="14" spans="1:11" x14ac:dyDescent="0.3">
      <c r="A14" t="s">
        <v>48</v>
      </c>
      <c r="B14" s="75">
        <f>Info!C39</f>
        <v>3375000</v>
      </c>
      <c r="E14" s="41" t="s">
        <v>48</v>
      </c>
      <c r="H14" s="64"/>
      <c r="J14" s="84">
        <v>3375000</v>
      </c>
    </row>
    <row r="15" spans="1:11" x14ac:dyDescent="0.3">
      <c r="A15" t="s">
        <v>24</v>
      </c>
      <c r="B15" s="75">
        <f>Info!C40</f>
        <v>502200</v>
      </c>
      <c r="C15" s="64" t="s">
        <v>91</v>
      </c>
      <c r="E15" s="41" t="s">
        <v>24</v>
      </c>
      <c r="H15" s="64"/>
      <c r="I15" s="84">
        <v>502200</v>
      </c>
      <c r="J15" s="64"/>
      <c r="K15" s="64" t="s">
        <v>91</v>
      </c>
    </row>
    <row r="16" spans="1:11" x14ac:dyDescent="0.3">
      <c r="B16" s="75"/>
      <c r="E16" s="41"/>
      <c r="H16" s="64"/>
      <c r="I16" s="84"/>
      <c r="J16" s="64"/>
    </row>
    <row r="17" spans="1:11" x14ac:dyDescent="0.3">
      <c r="A17" t="s">
        <v>58</v>
      </c>
      <c r="B17" s="75">
        <f>B15-B14</f>
        <v>-2872800</v>
      </c>
      <c r="E17" s="41"/>
      <c r="H17" s="64"/>
      <c r="I17" s="84"/>
    </row>
    <row r="18" spans="1:11" ht="14.5" x14ac:dyDescent="0.35">
      <c r="A18" s="44" t="s">
        <v>59</v>
      </c>
      <c r="B18" s="75"/>
      <c r="E18" s="52" t="s">
        <v>59</v>
      </c>
      <c r="H18" s="64"/>
      <c r="I18" s="84"/>
      <c r="K18" s="64"/>
    </row>
    <row r="19" spans="1:11" x14ac:dyDescent="0.3">
      <c r="A19" t="s">
        <v>60</v>
      </c>
      <c r="B19" s="75">
        <f>22500-9000</f>
        <v>13500</v>
      </c>
      <c r="C19" s="64" t="s">
        <v>91</v>
      </c>
      <c r="D19" t="s">
        <v>61</v>
      </c>
      <c r="E19" s="41" t="s">
        <v>60</v>
      </c>
      <c r="H19" s="64"/>
      <c r="I19" s="84">
        <v>13500</v>
      </c>
      <c r="K19" s="64" t="s">
        <v>91</v>
      </c>
    </row>
    <row r="20" spans="1:11" x14ac:dyDescent="0.3">
      <c r="A20" t="s">
        <v>26</v>
      </c>
      <c r="B20" s="75">
        <f>Info!C42</f>
        <v>112500</v>
      </c>
      <c r="C20" s="64" t="s">
        <v>92</v>
      </c>
      <c r="E20" s="41" t="s">
        <v>26</v>
      </c>
      <c r="H20" s="64"/>
      <c r="I20" s="84">
        <v>112500</v>
      </c>
      <c r="K20" s="64" t="s">
        <v>92</v>
      </c>
    </row>
    <row r="21" spans="1:11" x14ac:dyDescent="0.3">
      <c r="A21" s="27" t="s">
        <v>45</v>
      </c>
      <c r="B21" s="75">
        <f>-Info!C45</f>
        <v>-22500</v>
      </c>
      <c r="C21" s="64" t="s">
        <v>92</v>
      </c>
      <c r="E21" s="90" t="s">
        <v>45</v>
      </c>
      <c r="F21" s="91"/>
      <c r="G21" s="91"/>
      <c r="H21" s="64"/>
      <c r="J21" s="84">
        <v>22500</v>
      </c>
      <c r="K21" s="64" t="s">
        <v>92</v>
      </c>
    </row>
    <row r="22" spans="1:11" x14ac:dyDescent="0.3">
      <c r="B22" s="75"/>
      <c r="E22" s="41"/>
      <c r="H22" s="64"/>
      <c r="J22" s="84"/>
      <c r="K22" s="64"/>
    </row>
    <row r="23" spans="1:11" ht="14.5" x14ac:dyDescent="0.35">
      <c r="A23" s="44" t="s">
        <v>62</v>
      </c>
      <c r="B23" s="75"/>
      <c r="E23" s="52" t="s">
        <v>62</v>
      </c>
      <c r="H23" s="64"/>
      <c r="J23" s="84"/>
      <c r="K23" s="64"/>
    </row>
    <row r="24" spans="1:11" x14ac:dyDescent="0.3">
      <c r="A24" s="27" t="s">
        <v>27</v>
      </c>
      <c r="B24" s="75">
        <f>-Info!C43</f>
        <v>-38250</v>
      </c>
      <c r="C24" s="64" t="s">
        <v>92</v>
      </c>
      <c r="E24" s="90" t="s">
        <v>27</v>
      </c>
      <c r="F24" s="91"/>
      <c r="G24" s="91"/>
      <c r="H24" s="64"/>
      <c r="J24" s="84">
        <v>38250</v>
      </c>
      <c r="K24" s="64" t="s">
        <v>92</v>
      </c>
    </row>
    <row r="25" spans="1:11" x14ac:dyDescent="0.3">
      <c r="A25" s="27" t="s">
        <v>28</v>
      </c>
      <c r="B25" s="75">
        <f>-Info!C44</f>
        <v>-27000</v>
      </c>
      <c r="C25" s="64" t="s">
        <v>92</v>
      </c>
      <c r="E25" s="90" t="s">
        <v>28</v>
      </c>
      <c r="F25" s="91"/>
      <c r="G25" s="91"/>
      <c r="H25" s="64"/>
      <c r="J25" s="84">
        <v>27000</v>
      </c>
      <c r="K25" s="64" t="s">
        <v>92</v>
      </c>
    </row>
    <row r="26" spans="1:11" x14ac:dyDescent="0.3">
      <c r="B26" s="75"/>
      <c r="E26" s="41"/>
      <c r="H26" s="64"/>
      <c r="I26" s="84">
        <f>J27-I15-I19-I20</f>
        <v>2834550</v>
      </c>
      <c r="K26" s="64"/>
    </row>
    <row r="27" spans="1:11" x14ac:dyDescent="0.3">
      <c r="A27" t="s">
        <v>58</v>
      </c>
      <c r="B27" s="79">
        <f>SUM(B17:B26)</f>
        <v>-2834550</v>
      </c>
      <c r="E27" s="41" t="s">
        <v>58</v>
      </c>
      <c r="H27" s="64"/>
      <c r="I27" s="79">
        <f>J27</f>
        <v>3462750</v>
      </c>
      <c r="J27" s="79">
        <f>SUM(J14:J25)</f>
        <v>3462750</v>
      </c>
      <c r="K27" s="64"/>
    </row>
    <row r="28" spans="1:11" x14ac:dyDescent="0.3">
      <c r="B28" s="75"/>
      <c r="E28" s="41"/>
      <c r="H28" s="64"/>
      <c r="I28" s="84"/>
      <c r="K28" s="64"/>
    </row>
    <row r="29" spans="1:11" x14ac:dyDescent="0.3">
      <c r="A29" t="s">
        <v>63</v>
      </c>
      <c r="B29" s="75"/>
      <c r="E29" s="41" t="s">
        <v>63</v>
      </c>
      <c r="H29" s="64"/>
      <c r="I29" s="84">
        <f>-I26</f>
        <v>-2834550</v>
      </c>
      <c r="K29" s="64"/>
    </row>
    <row r="30" spans="1:11" x14ac:dyDescent="0.3">
      <c r="A30" t="s">
        <v>64</v>
      </c>
      <c r="B30" s="75">
        <f>Info!C26-Info!E26</f>
        <v>2700</v>
      </c>
      <c r="C30" s="64" t="s">
        <v>91</v>
      </c>
      <c r="E30" s="41" t="s">
        <v>64</v>
      </c>
      <c r="H30" s="64"/>
      <c r="I30" s="84">
        <v>2700</v>
      </c>
      <c r="K30" s="64" t="s">
        <v>91</v>
      </c>
    </row>
    <row r="31" spans="1:11" x14ac:dyDescent="0.3">
      <c r="B31" s="75"/>
      <c r="E31" s="41"/>
      <c r="H31" s="64"/>
      <c r="I31" s="84"/>
      <c r="K31" s="64"/>
    </row>
    <row r="32" spans="1:11" x14ac:dyDescent="0.3">
      <c r="A32" t="s">
        <v>65</v>
      </c>
      <c r="B32" s="81">
        <f>SUM(B27:B30)</f>
        <v>-2831850</v>
      </c>
      <c r="E32" s="41" t="s">
        <v>65</v>
      </c>
      <c r="H32" s="64"/>
      <c r="I32" s="81">
        <f>SUM(I29:I31)</f>
        <v>-2831850</v>
      </c>
      <c r="J32" s="64"/>
    </row>
    <row r="33" spans="1:6" x14ac:dyDescent="0.3">
      <c r="B33" s="75"/>
      <c r="F33" s="75"/>
    </row>
    <row r="34" spans="1:6" x14ac:dyDescent="0.3">
      <c r="B34" s="75"/>
      <c r="F34" s="75"/>
    </row>
    <row r="35" spans="1:6" x14ac:dyDescent="0.3">
      <c r="B35" s="75"/>
      <c r="F35" s="75"/>
    </row>
    <row r="36" spans="1:6" ht="14.5" x14ac:dyDescent="0.35">
      <c r="A36" s="87" t="s">
        <v>106</v>
      </c>
      <c r="B36" s="75"/>
      <c r="F36" s="75"/>
    </row>
    <row r="37" spans="1:6" x14ac:dyDescent="0.3">
      <c r="B37" s="75"/>
    </row>
  </sheetData>
  <mergeCells count="5">
    <mergeCell ref="E25:G25"/>
    <mergeCell ref="E3:H3"/>
    <mergeCell ref="E13:I13"/>
    <mergeCell ref="E21:G21"/>
    <mergeCell ref="E24:G24"/>
  </mergeCells>
  <pageMargins left="0.23622047244094491" right="0.23622047244094491" top="0.74803149606299213" bottom="0.74803149606299213" header="0.31496062992125984" footer="0.31496062992125984"/>
  <pageSetup paperSize="9" scale="9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04F94-32DF-4BB8-97BD-FC031032340B}">
  <dimension ref="A1:E148"/>
  <sheetViews>
    <sheetView topLeftCell="A34" workbookViewId="0">
      <selection activeCell="B51" sqref="B51"/>
    </sheetView>
  </sheetViews>
  <sheetFormatPr defaultRowHeight="14" x14ac:dyDescent="0.3"/>
  <cols>
    <col min="1" max="1" width="14.33203125" customWidth="1"/>
    <col min="2" max="2" width="10.33203125" customWidth="1"/>
    <col min="3" max="3" width="14.4140625" customWidth="1"/>
    <col min="4" max="4" width="10.33203125" customWidth="1"/>
    <col min="5" max="5" width="8.6640625" style="64"/>
    <col min="6" max="6" width="16.33203125" bestFit="1" customWidth="1"/>
  </cols>
  <sheetData>
    <row r="1" spans="1:5" x14ac:dyDescent="0.3">
      <c r="A1" s="38" t="s">
        <v>67</v>
      </c>
      <c r="B1" s="39"/>
      <c r="D1" s="39"/>
    </row>
    <row r="2" spans="1:5" x14ac:dyDescent="0.3">
      <c r="A2" s="38"/>
      <c r="B2" s="39"/>
      <c r="D2" s="39"/>
    </row>
    <row r="3" spans="1:5" x14ac:dyDescent="0.3">
      <c r="A3" s="96" t="s">
        <v>31</v>
      </c>
      <c r="B3" s="96"/>
      <c r="C3" s="96"/>
      <c r="D3" s="39"/>
    </row>
    <row r="4" spans="1:5" x14ac:dyDescent="0.3">
      <c r="B4" s="39"/>
      <c r="D4" s="39"/>
    </row>
    <row r="5" spans="1:5" x14ac:dyDescent="0.3">
      <c r="A5" s="92" t="s">
        <v>22</v>
      </c>
      <c r="B5" s="92"/>
      <c r="C5" s="92"/>
      <c r="D5" s="92"/>
    </row>
    <row r="6" spans="1:5" x14ac:dyDescent="0.3">
      <c r="A6" t="s">
        <v>51</v>
      </c>
      <c r="B6" s="39">
        <f>Info!E9</f>
        <v>5750</v>
      </c>
      <c r="C6" s="40"/>
      <c r="D6" s="39"/>
    </row>
    <row r="7" spans="1:5" x14ac:dyDescent="0.3">
      <c r="B7" s="39"/>
      <c r="C7" s="41"/>
      <c r="D7" s="39"/>
    </row>
    <row r="8" spans="1:5" x14ac:dyDescent="0.3">
      <c r="A8" t="s">
        <v>27</v>
      </c>
      <c r="B8" s="39">
        <f>Info!C43</f>
        <v>38250</v>
      </c>
      <c r="C8" s="41"/>
      <c r="D8" s="39"/>
      <c r="E8" s="64" t="s">
        <v>92</v>
      </c>
    </row>
    <row r="9" spans="1:5" x14ac:dyDescent="0.3">
      <c r="B9" s="39"/>
      <c r="C9" s="41" t="s">
        <v>55</v>
      </c>
      <c r="D9" s="39">
        <f>B11-D10</f>
        <v>33750</v>
      </c>
      <c r="E9" s="64" t="s">
        <v>95</v>
      </c>
    </row>
    <row r="10" spans="1:5" x14ac:dyDescent="0.3">
      <c r="B10" s="39"/>
      <c r="C10" s="41" t="s">
        <v>52</v>
      </c>
      <c r="D10" s="39">
        <f>Info!C9</f>
        <v>10250</v>
      </c>
      <c r="E10" s="64" t="s">
        <v>92</v>
      </c>
    </row>
    <row r="11" spans="1:5" x14ac:dyDescent="0.3">
      <c r="B11" s="45">
        <f>SUM(B6:B10)</f>
        <v>44000</v>
      </c>
      <c r="C11" s="41"/>
      <c r="D11" s="39"/>
    </row>
    <row r="12" spans="1:5" x14ac:dyDescent="0.3">
      <c r="B12" s="39"/>
      <c r="C12" s="41"/>
      <c r="D12" s="39"/>
    </row>
    <row r="13" spans="1:5" x14ac:dyDescent="0.3">
      <c r="B13" s="39"/>
      <c r="D13" s="39"/>
    </row>
    <row r="14" spans="1:5" x14ac:dyDescent="0.3">
      <c r="A14" s="42"/>
      <c r="B14" s="43"/>
      <c r="C14" s="42"/>
      <c r="D14" s="43"/>
    </row>
    <row r="15" spans="1:5" x14ac:dyDescent="0.3">
      <c r="A15" s="38" t="s">
        <v>68</v>
      </c>
      <c r="B15" s="39"/>
      <c r="D15" s="39"/>
    </row>
    <row r="16" spans="1:5" x14ac:dyDescent="0.3">
      <c r="B16" s="39"/>
      <c r="D16" s="39"/>
    </row>
    <row r="17" spans="1:5" x14ac:dyDescent="0.3">
      <c r="A17" s="30" t="s">
        <v>33</v>
      </c>
      <c r="B17" s="39"/>
      <c r="D17" s="39"/>
    </row>
    <row r="18" spans="1:5" x14ac:dyDescent="0.3">
      <c r="B18" s="39"/>
      <c r="D18" s="39"/>
    </row>
    <row r="19" spans="1:5" x14ac:dyDescent="0.3">
      <c r="A19" s="92" t="s">
        <v>100</v>
      </c>
      <c r="B19" s="92"/>
      <c r="C19" s="92"/>
      <c r="D19" s="92"/>
    </row>
    <row r="20" spans="1:5" x14ac:dyDescent="0.3">
      <c r="B20" s="39"/>
      <c r="C20" s="40" t="s">
        <v>51</v>
      </c>
      <c r="D20" s="39">
        <f>Info!E28</f>
        <v>11700</v>
      </c>
    </row>
    <row r="21" spans="1:5" x14ac:dyDescent="0.3">
      <c r="B21" s="39"/>
      <c r="C21" s="41"/>
      <c r="D21" s="39"/>
    </row>
    <row r="22" spans="1:5" x14ac:dyDescent="0.3">
      <c r="B22" s="39"/>
      <c r="C22" s="41" t="s">
        <v>25</v>
      </c>
      <c r="D22" s="39">
        <f>Info!C41</f>
        <v>105750</v>
      </c>
      <c r="E22" s="64" t="s">
        <v>92</v>
      </c>
    </row>
    <row r="23" spans="1:5" x14ac:dyDescent="0.3">
      <c r="A23" t="s">
        <v>55</v>
      </c>
      <c r="B23" s="39">
        <f>D25-B24</f>
        <v>87750</v>
      </c>
      <c r="C23" s="41"/>
      <c r="D23" s="39"/>
      <c r="E23" s="64" t="s">
        <v>95</v>
      </c>
    </row>
    <row r="24" spans="1:5" x14ac:dyDescent="0.3">
      <c r="A24" t="s">
        <v>52</v>
      </c>
      <c r="B24" s="39">
        <f>Info!C28</f>
        <v>29700</v>
      </c>
      <c r="C24" s="41"/>
      <c r="D24" s="39"/>
      <c r="E24" s="64" t="s">
        <v>92</v>
      </c>
    </row>
    <row r="25" spans="1:5" x14ac:dyDescent="0.3">
      <c r="B25" s="45">
        <f>SUM(B20:B24)</f>
        <v>117450</v>
      </c>
      <c r="C25" s="41"/>
      <c r="D25" s="46">
        <f>SUM(D20:D24)</f>
        <v>117450</v>
      </c>
    </row>
    <row r="26" spans="1:5" x14ac:dyDescent="0.3">
      <c r="B26" s="39"/>
      <c r="D26" s="39"/>
    </row>
    <row r="27" spans="1:5" x14ac:dyDescent="0.3">
      <c r="B27" s="39"/>
      <c r="D27" s="39"/>
    </row>
    <row r="28" spans="1:5" x14ac:dyDescent="0.3">
      <c r="A28" s="42"/>
      <c r="B28" s="43"/>
      <c r="C28" s="42"/>
      <c r="D28" s="43"/>
    </row>
    <row r="29" spans="1:5" x14ac:dyDescent="0.3">
      <c r="A29" s="38" t="s">
        <v>71</v>
      </c>
      <c r="B29" s="39"/>
      <c r="D29" s="39"/>
    </row>
    <row r="30" spans="1:5" x14ac:dyDescent="0.3">
      <c r="B30" s="39"/>
      <c r="D30" s="39"/>
    </row>
    <row r="31" spans="1:5" x14ac:dyDescent="0.3">
      <c r="A31" s="38" t="s">
        <v>72</v>
      </c>
      <c r="B31" s="39"/>
      <c r="D31" s="39"/>
    </row>
    <row r="32" spans="1:5" x14ac:dyDescent="0.3">
      <c r="B32" s="39"/>
      <c r="D32" s="39"/>
    </row>
    <row r="33" spans="1:5" x14ac:dyDescent="0.3">
      <c r="A33" s="92" t="s">
        <v>73</v>
      </c>
      <c r="B33" s="92"/>
      <c r="C33" s="92"/>
      <c r="D33" s="92"/>
    </row>
    <row r="34" spans="1:5" x14ac:dyDescent="0.3">
      <c r="A34" t="s">
        <v>51</v>
      </c>
      <c r="B34" s="39">
        <v>4500000</v>
      </c>
      <c r="C34" s="40"/>
      <c r="D34" s="39"/>
    </row>
    <row r="35" spans="1:5" x14ac:dyDescent="0.3">
      <c r="B35" s="39"/>
      <c r="C35" s="41"/>
      <c r="D35" s="39"/>
    </row>
    <row r="36" spans="1:5" x14ac:dyDescent="0.3">
      <c r="A36" t="s">
        <v>74</v>
      </c>
      <c r="B36" s="39">
        <f>Info!C18-Info!E18</f>
        <v>225000</v>
      </c>
      <c r="C36" s="41"/>
      <c r="D36" s="39"/>
      <c r="E36" s="64" t="s">
        <v>92</v>
      </c>
    </row>
    <row r="37" spans="1:5" x14ac:dyDescent="0.3">
      <c r="A37" t="s">
        <v>99</v>
      </c>
      <c r="B37" s="39">
        <f>D39-B34-B36</f>
        <v>4275000</v>
      </c>
      <c r="C37" s="41"/>
      <c r="D37" s="39"/>
      <c r="E37" s="64" t="s">
        <v>95</v>
      </c>
    </row>
    <row r="38" spans="1:5" x14ac:dyDescent="0.3">
      <c r="B38" s="39"/>
      <c r="C38" s="41" t="s">
        <v>52</v>
      </c>
      <c r="D38" s="39">
        <v>9000000</v>
      </c>
      <c r="E38" s="64" t="s">
        <v>92</v>
      </c>
    </row>
    <row r="39" spans="1:5" x14ac:dyDescent="0.3">
      <c r="B39" s="45">
        <f>SUM(B34:B38)</f>
        <v>9000000</v>
      </c>
      <c r="C39" s="41"/>
      <c r="D39" s="46">
        <f>SUM(D34:D38)</f>
        <v>9000000</v>
      </c>
    </row>
    <row r="40" spans="1:5" x14ac:dyDescent="0.3">
      <c r="B40" s="39"/>
      <c r="D40" s="39"/>
    </row>
    <row r="41" spans="1:5" x14ac:dyDescent="0.3">
      <c r="B41" s="39"/>
      <c r="D41" s="39"/>
    </row>
    <row r="42" spans="1:5" x14ac:dyDescent="0.3">
      <c r="A42" s="42"/>
      <c r="B42" s="43"/>
      <c r="C42" s="42"/>
      <c r="D42" s="43"/>
    </row>
    <row r="43" spans="1:5" x14ac:dyDescent="0.3">
      <c r="A43" s="38" t="s">
        <v>75</v>
      </c>
      <c r="B43" s="39"/>
      <c r="D43" s="39"/>
    </row>
    <row r="44" spans="1:5" x14ac:dyDescent="0.3">
      <c r="B44" s="39"/>
      <c r="D44" s="39"/>
    </row>
    <row r="45" spans="1:5" x14ac:dyDescent="0.3">
      <c r="A45" s="38" t="s">
        <v>76</v>
      </c>
      <c r="B45" s="39"/>
      <c r="D45" s="39"/>
    </row>
    <row r="46" spans="1:5" x14ac:dyDescent="0.3">
      <c r="B46" s="39"/>
      <c r="D46" s="39"/>
    </row>
    <row r="47" spans="1:5" x14ac:dyDescent="0.3">
      <c r="A47" s="92" t="s">
        <v>77</v>
      </c>
      <c r="B47" s="92"/>
      <c r="C47" s="92"/>
      <c r="D47" s="92"/>
    </row>
    <row r="48" spans="1:5" x14ac:dyDescent="0.3">
      <c r="A48" t="s">
        <v>51</v>
      </c>
      <c r="B48" s="39">
        <v>900000</v>
      </c>
      <c r="C48" s="40"/>
      <c r="D48" s="39"/>
    </row>
    <row r="49" spans="1:5" x14ac:dyDescent="0.3">
      <c r="B49" s="39"/>
      <c r="C49" s="41" t="s">
        <v>78</v>
      </c>
      <c r="D49" s="39">
        <v>180000</v>
      </c>
      <c r="E49" s="64" t="s">
        <v>92</v>
      </c>
    </row>
    <row r="50" spans="1:5" x14ac:dyDescent="0.3">
      <c r="B50" s="39"/>
      <c r="C50" s="41"/>
      <c r="D50" s="39"/>
    </row>
    <row r="51" spans="1:5" x14ac:dyDescent="0.3">
      <c r="A51" t="s">
        <v>55</v>
      </c>
      <c r="B51" s="39">
        <f>D53-B48-B50</f>
        <v>180000</v>
      </c>
      <c r="C51" s="41"/>
      <c r="D51" s="39"/>
      <c r="E51" s="64" t="s">
        <v>95</v>
      </c>
    </row>
    <row r="52" spans="1:5" x14ac:dyDescent="0.3">
      <c r="B52" s="39"/>
      <c r="C52" s="41" t="s">
        <v>52</v>
      </c>
      <c r="D52" s="39">
        <v>900000</v>
      </c>
      <c r="E52" s="64" t="s">
        <v>92</v>
      </c>
    </row>
    <row r="53" spans="1:5" x14ac:dyDescent="0.3">
      <c r="B53" s="45">
        <f>SUM(B48:B52)</f>
        <v>1080000</v>
      </c>
      <c r="C53" s="41"/>
      <c r="D53" s="46">
        <f>SUM(D48:D52)</f>
        <v>1080000</v>
      </c>
    </row>
    <row r="54" spans="1:5" x14ac:dyDescent="0.3">
      <c r="B54" s="39"/>
      <c r="D54" s="39"/>
    </row>
    <row r="55" spans="1:5" x14ac:dyDescent="0.3">
      <c r="B55" s="39"/>
      <c r="D55" s="39"/>
    </row>
    <row r="56" spans="1:5" x14ac:dyDescent="0.3">
      <c r="A56" s="42"/>
      <c r="B56" s="43"/>
      <c r="C56" s="42"/>
      <c r="D56" s="43"/>
    </row>
    <row r="57" spans="1:5" ht="14.5" x14ac:dyDescent="0.35">
      <c r="A57" s="48" t="s">
        <v>85</v>
      </c>
      <c r="B57" s="49"/>
      <c r="C57" s="44"/>
      <c r="D57" s="49"/>
    </row>
    <row r="58" spans="1:5" ht="14.5" x14ac:dyDescent="0.35">
      <c r="A58" s="44"/>
      <c r="B58" s="49"/>
      <c r="C58" s="44"/>
      <c r="D58" s="49"/>
    </row>
    <row r="59" spans="1:5" ht="14.5" x14ac:dyDescent="0.35">
      <c r="A59" s="48" t="s">
        <v>36</v>
      </c>
      <c r="B59" s="49"/>
      <c r="C59" s="44"/>
      <c r="D59" s="49"/>
    </row>
    <row r="60" spans="1:5" ht="14.5" x14ac:dyDescent="0.35">
      <c r="A60" s="44"/>
      <c r="B60" s="49"/>
      <c r="C60" s="44"/>
      <c r="D60" s="49"/>
    </row>
    <row r="61" spans="1:5" ht="14.5" x14ac:dyDescent="0.35">
      <c r="A61" s="44" t="s">
        <v>80</v>
      </c>
      <c r="B61" s="49"/>
      <c r="C61" s="49">
        <v>180000</v>
      </c>
      <c r="D61" s="49"/>
    </row>
    <row r="62" spans="1:5" ht="14.5" x14ac:dyDescent="0.35">
      <c r="A62" s="44" t="s">
        <v>81</v>
      </c>
      <c r="B62" s="49"/>
      <c r="C62" s="50">
        <f>C63-C61</f>
        <v>-67500</v>
      </c>
      <c r="D62" s="49"/>
    </row>
    <row r="63" spans="1:5" ht="14.5" x14ac:dyDescent="0.35">
      <c r="A63" s="44" t="s">
        <v>82</v>
      </c>
      <c r="B63" s="49"/>
      <c r="C63" s="49">
        <f>C64-C65</f>
        <v>112500</v>
      </c>
      <c r="D63" s="49"/>
    </row>
    <row r="64" spans="1:5" ht="14.5" x14ac:dyDescent="0.35">
      <c r="A64" s="44" t="s">
        <v>83</v>
      </c>
      <c r="B64" s="49"/>
      <c r="C64" s="50">
        <v>135000</v>
      </c>
      <c r="D64" s="49"/>
    </row>
    <row r="65" spans="1:4" ht="14.5" x14ac:dyDescent="0.35">
      <c r="A65" s="44" t="s">
        <v>84</v>
      </c>
      <c r="B65" s="49"/>
      <c r="C65" s="49">
        <f>Info!C45</f>
        <v>22500</v>
      </c>
      <c r="D65" s="49"/>
    </row>
    <row r="66" spans="1:4" ht="14.5" x14ac:dyDescent="0.35">
      <c r="A66" s="44"/>
      <c r="B66" s="49"/>
      <c r="C66" s="49"/>
      <c r="D66" s="49"/>
    </row>
    <row r="67" spans="1:4" ht="14.5" x14ac:dyDescent="0.35">
      <c r="A67" s="44"/>
      <c r="B67" s="49"/>
      <c r="C67" s="49"/>
      <c r="D67" s="49"/>
    </row>
    <row r="68" spans="1:4" x14ac:dyDescent="0.3">
      <c r="A68" s="95" t="s">
        <v>86</v>
      </c>
      <c r="B68" s="95"/>
      <c r="C68" s="95"/>
      <c r="D68" s="95"/>
    </row>
    <row r="69" spans="1:4" ht="14.5" x14ac:dyDescent="0.35">
      <c r="A69" s="44"/>
      <c r="B69" s="49"/>
      <c r="C69" s="51" t="s">
        <v>51</v>
      </c>
      <c r="D69" s="49">
        <v>405000</v>
      </c>
    </row>
    <row r="70" spans="1:4" ht="14.5" x14ac:dyDescent="0.35">
      <c r="A70" s="44" t="s">
        <v>78</v>
      </c>
      <c r="B70" s="49">
        <f>-C62</f>
        <v>67500</v>
      </c>
      <c r="C70" s="52"/>
      <c r="D70" s="49"/>
    </row>
    <row r="71" spans="1:4" ht="14.5" x14ac:dyDescent="0.35">
      <c r="A71" s="44"/>
      <c r="B71" s="49"/>
      <c r="C71" s="52" t="s">
        <v>26</v>
      </c>
      <c r="D71" s="49">
        <f>Info!C42</f>
        <v>112500</v>
      </c>
    </row>
    <row r="72" spans="1:4" ht="14.5" x14ac:dyDescent="0.35">
      <c r="A72" s="44"/>
      <c r="B72" s="49"/>
      <c r="C72" s="52"/>
      <c r="D72" s="49"/>
    </row>
    <row r="73" spans="1:4" ht="14.5" x14ac:dyDescent="0.35">
      <c r="A73" s="44" t="s">
        <v>52</v>
      </c>
      <c r="B73" s="49">
        <v>450000</v>
      </c>
      <c r="C73" s="52"/>
      <c r="D73" s="49"/>
    </row>
    <row r="74" spans="1:4" ht="14.5" x14ac:dyDescent="0.35">
      <c r="A74" s="44"/>
      <c r="B74" s="53">
        <f>SUM(B69:B73)</f>
        <v>517500</v>
      </c>
      <c r="C74" s="52"/>
      <c r="D74" s="54">
        <f>SUM(D69:D73)</f>
        <v>517500</v>
      </c>
    </row>
    <row r="75" spans="1:4" x14ac:dyDescent="0.3">
      <c r="B75" s="39"/>
      <c r="C75" s="39"/>
      <c r="D75" s="39"/>
    </row>
    <row r="76" spans="1:4" x14ac:dyDescent="0.3">
      <c r="B76" s="39"/>
      <c r="C76" s="39"/>
      <c r="D76" s="39"/>
    </row>
    <row r="77" spans="1:4" x14ac:dyDescent="0.3">
      <c r="B77" s="39"/>
      <c r="C77" s="39"/>
      <c r="D77" s="39"/>
    </row>
    <row r="78" spans="1:4" x14ac:dyDescent="0.3">
      <c r="B78" s="39"/>
      <c r="C78" s="39"/>
      <c r="D78" s="39"/>
    </row>
    <row r="79" spans="1:4" x14ac:dyDescent="0.3">
      <c r="B79" s="39"/>
      <c r="C79" s="39"/>
      <c r="D79" s="39"/>
    </row>
    <row r="80" spans="1:4" x14ac:dyDescent="0.3">
      <c r="B80" s="39"/>
      <c r="C80" s="39"/>
      <c r="D80" s="39"/>
    </row>
    <row r="81" spans="2:4" x14ac:dyDescent="0.3">
      <c r="B81" s="39"/>
      <c r="C81" s="39"/>
      <c r="D81" s="39"/>
    </row>
    <row r="82" spans="2:4" x14ac:dyDescent="0.3">
      <c r="B82" s="39"/>
      <c r="C82" s="39"/>
      <c r="D82" s="39"/>
    </row>
    <row r="83" spans="2:4" x14ac:dyDescent="0.3">
      <c r="B83" s="39"/>
      <c r="C83" s="39"/>
      <c r="D83" s="39"/>
    </row>
    <row r="84" spans="2:4" x14ac:dyDescent="0.3">
      <c r="B84" s="39"/>
      <c r="C84" s="39"/>
      <c r="D84" s="39"/>
    </row>
    <row r="85" spans="2:4" x14ac:dyDescent="0.3">
      <c r="B85" s="39"/>
      <c r="C85" s="39"/>
      <c r="D85" s="39"/>
    </row>
    <row r="86" spans="2:4" x14ac:dyDescent="0.3">
      <c r="B86" s="39"/>
      <c r="C86" s="39"/>
      <c r="D86" s="39"/>
    </row>
    <row r="87" spans="2:4" x14ac:dyDescent="0.3">
      <c r="B87" s="39"/>
      <c r="C87" s="39"/>
      <c r="D87" s="39"/>
    </row>
    <row r="88" spans="2:4" x14ac:dyDescent="0.3">
      <c r="B88" s="39"/>
      <c r="C88" s="39"/>
      <c r="D88" s="39"/>
    </row>
    <row r="89" spans="2:4" x14ac:dyDescent="0.3">
      <c r="B89" s="39"/>
      <c r="C89" s="39"/>
      <c r="D89" s="39"/>
    </row>
    <row r="90" spans="2:4" x14ac:dyDescent="0.3">
      <c r="B90" s="39"/>
      <c r="C90" s="39"/>
      <c r="D90" s="39"/>
    </row>
    <row r="91" spans="2:4" x14ac:dyDescent="0.3">
      <c r="B91" s="39"/>
      <c r="C91" s="39"/>
      <c r="D91" s="39"/>
    </row>
    <row r="92" spans="2:4" x14ac:dyDescent="0.3">
      <c r="B92" s="39"/>
      <c r="C92" s="39"/>
      <c r="D92" s="39"/>
    </row>
    <row r="93" spans="2:4" x14ac:dyDescent="0.3">
      <c r="B93" s="39"/>
      <c r="D93" s="39"/>
    </row>
    <row r="94" spans="2:4" x14ac:dyDescent="0.3">
      <c r="B94" s="39"/>
      <c r="D94" s="39"/>
    </row>
    <row r="95" spans="2:4" x14ac:dyDescent="0.3">
      <c r="B95" s="39"/>
      <c r="D95" s="39"/>
    </row>
    <row r="96" spans="2:4" x14ac:dyDescent="0.3">
      <c r="B96" s="39"/>
      <c r="D96" s="39"/>
    </row>
    <row r="97" spans="2:4" x14ac:dyDescent="0.3">
      <c r="B97" s="39"/>
      <c r="D97" s="39"/>
    </row>
    <row r="98" spans="2:4" x14ac:dyDescent="0.3">
      <c r="B98" s="39"/>
      <c r="D98" s="39"/>
    </row>
    <row r="99" spans="2:4" x14ac:dyDescent="0.3">
      <c r="B99" s="39"/>
      <c r="D99" s="39"/>
    </row>
    <row r="100" spans="2:4" x14ac:dyDescent="0.3">
      <c r="B100" s="39"/>
      <c r="D100" s="39"/>
    </row>
    <row r="101" spans="2:4" x14ac:dyDescent="0.3">
      <c r="B101" s="39"/>
      <c r="D101" s="39"/>
    </row>
    <row r="102" spans="2:4" x14ac:dyDescent="0.3">
      <c r="B102" s="39"/>
      <c r="D102" s="39"/>
    </row>
    <row r="103" spans="2:4" x14ac:dyDescent="0.3">
      <c r="B103" s="39"/>
      <c r="D103" s="39"/>
    </row>
    <row r="104" spans="2:4" x14ac:dyDescent="0.3">
      <c r="B104" s="39"/>
      <c r="D104" s="39"/>
    </row>
    <row r="105" spans="2:4" x14ac:dyDescent="0.3">
      <c r="B105" s="39"/>
      <c r="D105" s="39"/>
    </row>
    <row r="106" spans="2:4" x14ac:dyDescent="0.3">
      <c r="B106" s="39"/>
      <c r="D106" s="39"/>
    </row>
    <row r="107" spans="2:4" x14ac:dyDescent="0.3">
      <c r="B107" s="39"/>
      <c r="D107" s="39"/>
    </row>
    <row r="108" spans="2:4" x14ac:dyDescent="0.3">
      <c r="B108" s="39"/>
      <c r="D108" s="39"/>
    </row>
    <row r="109" spans="2:4" x14ac:dyDescent="0.3">
      <c r="B109" s="39"/>
      <c r="D109" s="39"/>
    </row>
    <row r="110" spans="2:4" x14ac:dyDescent="0.3">
      <c r="B110" s="39"/>
      <c r="D110" s="39"/>
    </row>
    <row r="111" spans="2:4" x14ac:dyDescent="0.3">
      <c r="B111" s="39"/>
      <c r="D111" s="39"/>
    </row>
    <row r="112" spans="2:4" x14ac:dyDescent="0.3">
      <c r="B112" s="39"/>
      <c r="D112" s="39"/>
    </row>
    <row r="113" spans="2:4" x14ac:dyDescent="0.3">
      <c r="B113" s="39"/>
      <c r="D113" s="39"/>
    </row>
    <row r="114" spans="2:4" x14ac:dyDescent="0.3">
      <c r="B114" s="39"/>
      <c r="D114" s="39"/>
    </row>
    <row r="115" spans="2:4" x14ac:dyDescent="0.3">
      <c r="B115" s="39"/>
      <c r="D115" s="39"/>
    </row>
    <row r="116" spans="2:4" x14ac:dyDescent="0.3">
      <c r="B116" s="39"/>
      <c r="D116" s="39"/>
    </row>
    <row r="117" spans="2:4" x14ac:dyDescent="0.3">
      <c r="B117" s="39"/>
      <c r="D117" s="39"/>
    </row>
    <row r="118" spans="2:4" x14ac:dyDescent="0.3">
      <c r="B118" s="39"/>
      <c r="D118" s="39"/>
    </row>
    <row r="119" spans="2:4" x14ac:dyDescent="0.3">
      <c r="B119" s="39"/>
      <c r="D119" s="39"/>
    </row>
    <row r="120" spans="2:4" x14ac:dyDescent="0.3">
      <c r="B120" s="39"/>
      <c r="D120" s="39"/>
    </row>
    <row r="121" spans="2:4" x14ac:dyDescent="0.3">
      <c r="B121" s="39"/>
    </row>
    <row r="122" spans="2:4" x14ac:dyDescent="0.3">
      <c r="B122" s="39"/>
    </row>
    <row r="123" spans="2:4" x14ac:dyDescent="0.3">
      <c r="B123" s="39"/>
    </row>
    <row r="124" spans="2:4" x14ac:dyDescent="0.3">
      <c r="B124" s="39"/>
    </row>
    <row r="125" spans="2:4" x14ac:dyDescent="0.3">
      <c r="B125" s="39"/>
    </row>
    <row r="126" spans="2:4" x14ac:dyDescent="0.3">
      <c r="B126" s="39"/>
    </row>
    <row r="127" spans="2:4" x14ac:dyDescent="0.3">
      <c r="B127" s="39"/>
    </row>
    <row r="128" spans="2:4" x14ac:dyDescent="0.3">
      <c r="B128" s="39"/>
    </row>
    <row r="129" spans="2:2" x14ac:dyDescent="0.3">
      <c r="B129" s="39"/>
    </row>
    <row r="130" spans="2:2" x14ac:dyDescent="0.3">
      <c r="B130" s="39"/>
    </row>
    <row r="131" spans="2:2" x14ac:dyDescent="0.3">
      <c r="B131" s="39"/>
    </row>
    <row r="132" spans="2:2" x14ac:dyDescent="0.3">
      <c r="B132" s="39"/>
    </row>
    <row r="133" spans="2:2" x14ac:dyDescent="0.3">
      <c r="B133" s="39"/>
    </row>
    <row r="134" spans="2:2" x14ac:dyDescent="0.3">
      <c r="B134" s="39"/>
    </row>
    <row r="135" spans="2:2" x14ac:dyDescent="0.3">
      <c r="B135" s="39"/>
    </row>
    <row r="136" spans="2:2" x14ac:dyDescent="0.3">
      <c r="B136" s="39"/>
    </row>
    <row r="137" spans="2:2" x14ac:dyDescent="0.3">
      <c r="B137" s="39"/>
    </row>
    <row r="138" spans="2:2" x14ac:dyDescent="0.3">
      <c r="B138" s="39"/>
    </row>
    <row r="139" spans="2:2" x14ac:dyDescent="0.3">
      <c r="B139" s="39"/>
    </row>
    <row r="140" spans="2:2" x14ac:dyDescent="0.3">
      <c r="B140" s="39"/>
    </row>
    <row r="141" spans="2:2" x14ac:dyDescent="0.3">
      <c r="B141" s="39"/>
    </row>
    <row r="142" spans="2:2" x14ac:dyDescent="0.3">
      <c r="B142" s="39"/>
    </row>
    <row r="143" spans="2:2" x14ac:dyDescent="0.3">
      <c r="B143" s="39"/>
    </row>
    <row r="144" spans="2:2" x14ac:dyDescent="0.3">
      <c r="B144" s="39"/>
    </row>
    <row r="145" spans="2:2" x14ac:dyDescent="0.3">
      <c r="B145" s="39"/>
    </row>
    <row r="146" spans="2:2" x14ac:dyDescent="0.3">
      <c r="B146" s="39"/>
    </row>
    <row r="147" spans="2:2" x14ac:dyDescent="0.3">
      <c r="B147" s="39"/>
    </row>
    <row r="148" spans="2:2" x14ac:dyDescent="0.3">
      <c r="B148" s="39"/>
    </row>
  </sheetData>
  <mergeCells count="6">
    <mergeCell ref="A68:D68"/>
    <mergeCell ref="A5:D5"/>
    <mergeCell ref="A19:D19"/>
    <mergeCell ref="A3:C3"/>
    <mergeCell ref="A33:D33"/>
    <mergeCell ref="A47:D47"/>
  </mergeCells>
  <pageMargins left="0.70866141732283472" right="0.70866141732283472" top="0.55118110236220474" bottom="0.35433070866141736" header="0.11811023622047245" footer="0.1181102362204724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Info</vt:lpstr>
      <vt:lpstr>SCF</vt:lpstr>
      <vt:lpstr>Calc 1+2</vt:lpstr>
      <vt:lpstr>Calc 3-6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Smit, S, Mev [smits2@sun.ac.za]</dc:creator>
  <cp:lastModifiedBy>Ngobese, LM, Mr [lmngobese@sun.ac.za]</cp:lastModifiedBy>
  <cp:lastPrinted>2024-05-28T12:56:42Z</cp:lastPrinted>
  <dcterms:created xsi:type="dcterms:W3CDTF">2024-04-17T10:22:14Z</dcterms:created>
  <dcterms:modified xsi:type="dcterms:W3CDTF">2026-05-06T11:03:37Z</dcterms:modified>
</cp:coreProperties>
</file>